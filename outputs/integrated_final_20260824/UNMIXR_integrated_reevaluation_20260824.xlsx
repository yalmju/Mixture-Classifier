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1d6a1ad03541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2c8bd14ab63e4845"/>
    <x:sheet xmlns:r="http://schemas.openxmlformats.org/officeDocument/2006/relationships" name="Protocol" sheetId="2" r:id="Rf76034047757461f"/>
    <x:sheet xmlns:r="http://schemas.openxmlformats.org/officeDocument/2006/relationships" name="Composition Summary" sheetId="3" r:id="Rf1810ffdb33c4d30"/>
    <x:sheet xmlns:r="http://schemas.openxmlformats.org/officeDocument/2006/relationships" name="Composition Predictions" sheetId="4" r:id="R0f663847ac3a4c00"/>
    <x:sheet xmlns:r="http://schemas.openxmlformats.org/officeDocument/2006/relationships" name="Concentration Summary" sheetId="5" r:id="R39fa211a3fd14d7f"/>
    <x:sheet xmlns:r="http://schemas.openxmlformats.org/officeDocument/2006/relationships" name="Concentration Predictions" sheetId="6" r:id="R57b556db38954a85"/>
    <x:sheet xmlns:r="http://schemas.openxmlformats.org/officeDocument/2006/relationships" name="Statistics" sheetId="7" r:id="R496cc8850e914785"/>
    <x:sheet xmlns:r="http://schemas.openxmlformats.org/officeDocument/2006/relationships" name="Decision Log" sheetId="8" r:id="R0e4488a9605743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"/>
    <x:numFmt numFmtId="201" formatCode="0.0%"/>
    <x:numFmt numFmtId="202" formatCode="0.0"/>
    <x:numFmt numFmtId="203" formatCode="0.000"/>
    <x:numFmt numFmtId="204" formatCode="0.0000"/>
    <x:numFmt numFmtId="205" formatCode="0.00 &quot;%p&quot;"/>
    <x:numFmt numFmtId="206" formatCode="0.0&quot;%&quot;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26343E"/>
      <x:name val="Carlito"/>
    </x:font>
    <x:font>
      <x:b/>
      <x:sz val="11"/>
      <x:color rgb="FF26343E"/>
      <x:name val="Carlito"/>
    </x:font>
    <x:font>
      <x:b/>
      <x:sz val="12"/>
      <x:color rgb="FF26343E"/>
      <x:name val="Carlito"/>
    </x:font>
    <x:font>
      <x:b/>
      <x:sz val="18"/>
      <x:color rgb="FF26343E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314C5E"/>
      </x:patternFill>
    </x:fill>
    <x:fill>
      <x:patternFill patternType="solid">
        <x:fgColor rgb="FFE4F4EC"/>
      </x:patternFill>
    </x:fill>
    <x:fill>
      <x:patternFill patternType="solid">
        <x:fgColor rgb="FFEEF1F3"/>
      </x:patternFill>
    </x:fill>
    <x:fill>
      <x:patternFill patternType="solid">
        <x:fgColor rgb="FFFCE8E8"/>
      </x:patternFill>
    </x:fill>
    <x:fill>
      <x:patternFill patternType="solid">
        <x:fgColor rgb="FFFFF3DD"/>
      </x:patternFill>
    </x:fill>
    <x:fill>
      <x:patternFill patternType="solid">
        <x:fgColor rgb="FFEAF3FA"/>
      </x:patternFill>
    </x:fill>
    <x:fill>
      <x:patternFill patternType="solid">
        <x:fgColor rgb="FFFFFFFF"/>
      </x:patternFill>
    </x:fill>
  </x:fills>
  <x:borders count="18">
    <x:border/>
    <x:border>
      <x:right style="thin">
        <x:color rgb="FF9BA8B0"/>
      </x:right>
    </x:border>
    <x:border>
      <x:left style="thin">
        <x:color rgb="FF9BA8B0"/>
      </x:left>
      <x:right style="thin">
        <x:color rgb="FF9BA8B0"/>
      </x:right>
    </x:border>
    <x:border>
      <x:left style="thin">
        <x:color rgb="FF9BA8B0"/>
      </x:left>
    </x:border>
    <x:border>
      <x:bottom style="thin">
        <x:color rgb="FFE2E7EA"/>
      </x:bottom>
    </x:border>
    <x:border>
      <x:top style="thin">
        <x:color rgb="FFE2E7EA"/>
      </x:top>
      <x:bottom style="thin">
        <x:color rgb="FFE2E7EA"/>
      </x:bottom>
    </x:border>
    <x:border>
      <x:top style="thin">
        <x:color rgb="FFE2E7EA"/>
      </x:top>
    </x:border>
    <x:border>
      <x:left style="thin">
        <x:color rgb="FFAAB5BC"/>
      </x:left>
      <x:top style="thin">
        <x:color rgb="FFAAB5BC"/>
      </x:top>
      <x:bottom style="thin">
        <x:color rgb="FFAAB5BC"/>
      </x:bottom>
    </x:border>
    <x:border>
      <x:right style="thin">
        <x:color rgb="FFAAB5BC"/>
      </x:right>
      <x:top style="thin">
        <x:color rgb="FFAAB5BC"/>
      </x:top>
      <x:bottom style="thin">
        <x:color rgb="FFAAB5BC"/>
      </x:bottom>
    </x:border>
    <x:border>
      <x:top style="thin">
        <x:color rgb="FFAAB5BC"/>
      </x:top>
      <x:bottom style="thin">
        <x:color rgb="FFAAB5BC"/>
      </x:bottom>
    </x:border>
    <x:border>
      <x:left style="thin">
        <x:color rgb="FFAAB5BC"/>
      </x:left>
      <x:top style="thin">
        <x:color rgb="FFAAB5BC"/>
      </x:top>
    </x:border>
    <x:border>
      <x:top style="thin">
        <x:color rgb="FFAAB5BC"/>
      </x:top>
    </x:border>
    <x:border>
      <x:right style="thin">
        <x:color rgb="FFAAB5BC"/>
      </x:right>
      <x:top style="thin">
        <x:color rgb="FFAAB5BC"/>
      </x:top>
    </x:border>
    <x:border>
      <x:left style="thin">
        <x:color rgb="FFAAB5BC"/>
      </x:left>
    </x:border>
    <x:border>
      <x:right style="thin">
        <x:color rgb="FFAAB5BC"/>
      </x:right>
    </x:border>
    <x:border>
      <x:left style="thin">
        <x:color rgb="FFAAB5BC"/>
      </x:left>
      <x:bottom style="thin">
        <x:color rgb="FFAAB5BC"/>
      </x:bottom>
    </x:border>
    <x:border>
      <x:bottom style="thin">
        <x:color rgb="FFAAB5BC"/>
      </x:bottom>
    </x:border>
    <x:border>
      <x:right style="thin">
        <x:color rgb="FFAAB5BC"/>
      </x:right>
      <x:bottom style="thin">
        <x:color rgb="FFAAB5BC"/>
      </x:bottom>
    </x:border>
  </x:borders>
  <x:cellStyleXfs count="1">
    <x:xf numFmtId="0" fontId="0" fillId="0" borderId="0"/>
  </x:cellStyleXfs>
  <x:cellXfs count="1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200" fontId="3" fillId="0" borderId="4" xfId="0" applyNumberFormat="1" applyFont="1" applyFill="1" applyBorder="1"/>
    <x:xf numFmtId="200" fontId="3" fillId="0" borderId="5" xfId="0" applyNumberFormat="1" applyFont="1" applyFill="1" applyBorder="1"/>
    <x:xf numFmtId="200" fontId="3" fillId="0" borderId="6" xfId="0" applyNumberFormat="1" applyFont="1" applyFill="1" applyBorder="1"/>
    <x:xf numFmtId="201" fontId="3" fillId="0" borderId="4" xfId="0" applyNumberFormat="1" applyFont="1" applyFill="1" applyBorder="1"/>
    <x:xf numFmtId="201" fontId="3" fillId="0" borderId="5" xfId="0" applyNumberFormat="1" applyFont="1" applyFill="1" applyBorder="1"/>
    <x:xf numFmtId="201" fontId="3" fillId="0" borderId="6" xfId="0" applyNumberFormat="1" applyFont="1" applyFill="1" applyBorder="1"/>
    <x:xf numFmtId="202" fontId="3" fillId="0" borderId="4" xfId="0" applyNumberFormat="1" applyFont="1" applyFill="1" applyBorder="1"/>
    <x:xf numFmtId="202" fontId="3" fillId="0" borderId="5" xfId="0" applyNumberFormat="1" applyFont="1" applyFill="1" applyBorder="1"/>
    <x:xf numFmtId="202" fontId="3" fillId="0" borderId="6" xfId="0" applyNumberFormat="1" applyFont="1" applyFill="1" applyBorder="1"/>
    <x:xf numFmtId="0" fontId="3" fillId="3" borderId="6" xfId="0" applyNumberFormat="1" applyFont="1" applyFill="1" applyBorder="1"/>
    <x:xf numFmtId="200" fontId="3" fillId="3" borderId="6" xfId="0" applyNumberFormat="1" applyFont="1" applyFill="1" applyBorder="1"/>
    <x:xf numFmtId="201" fontId="3" fillId="3" borderId="6" xfId="0" applyNumberFormat="1" applyFont="1" applyFill="1" applyBorder="1"/>
    <x:xf numFmtId="202" fontId="3" fillId="3" borderId="6" xfId="0" applyNumberFormat="1" applyFont="1" applyFill="1" applyBorder="1"/>
    <x:xf numFmtId="203" fontId="3" fillId="0" borderId="4" xfId="0" applyNumberFormat="1" applyFont="1" applyFill="1" applyBorder="1"/>
    <x:xf numFmtId="203" fontId="3" fillId="0" borderId="5" xfId="0" applyNumberFormat="1" applyFont="1" applyFill="1" applyBorder="1"/>
    <x:xf numFmtId="203" fontId="3" fillId="0" borderId="6" xfId="0" applyNumberFormat="1" applyFont="1" applyFill="1" applyBorder="1"/>
    <x:xf numFmtId="0" fontId="3" fillId="3" borderId="5" xfId="0" applyNumberFormat="1" applyFont="1" applyFill="1" applyBorder="1"/>
    <x:xf numFmtId="200" fontId="3" fillId="3" borderId="5" xfId="0" applyNumberFormat="1" applyFont="1" applyFill="1" applyBorder="1"/>
    <x:xf numFmtId="204" fontId="3" fillId="0" borderId="4" xfId="0" applyNumberFormat="1" applyFont="1" applyFill="1" applyBorder="1"/>
    <x:xf numFmtId="204" fontId="3" fillId="0" borderId="5" xfId="0" applyNumberFormat="1" applyFont="1" applyFill="1" applyBorder="1"/>
    <x:xf numFmtId="204" fontId="3" fillId="0" borderId="6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3" borderId="4" xfId="0" applyNumberFormat="1" applyFont="1" applyFill="1" applyBorder="1"/>
    <x:xf numFmtId="0" fontId="3" fillId="5" borderId="5" xfId="0" applyNumberFormat="1" applyFont="1" applyFill="1" applyBorder="1"/>
    <x:xf numFmtId="0" fontId="3" fillId="6" borderId="6" xfId="0" applyNumberFormat="1" applyFont="1" applyFill="1" applyBorder="1"/>
    <x:xf numFmtId="200" fontId="3" fillId="3" borderId="4" xfId="0" applyNumberFormat="1" applyFont="1" applyFill="1" applyBorder="1"/>
    <x:xf numFmtId="200" fontId="3" fillId="5" borderId="5" xfId="0" applyNumberFormat="1" applyFont="1" applyFill="1" applyBorder="1"/>
    <x:xf numFmtId="200" fontId="3" fillId="6" borderId="6" xfId="0" applyNumberFormat="1" applyFont="1" applyFill="1" applyBorder="1"/>
    <x:xf numFmtId="0" fontId="3" fillId="3" borderId="4" xfId="0" applyNumberFormat="1" applyFont="1" applyFill="1" applyBorder="1" applyAlignment="1">
      <x:alignment wrapText="1"/>
    </x:xf>
    <x:xf numFmtId="200" fontId="3" fillId="3" borderId="4" xfId="0" applyNumberFormat="1" applyFont="1" applyFill="1" applyBorder="1" applyAlignment="1">
      <x:alignment wrapText="1"/>
    </x:xf>
    <x:xf numFmtId="0" fontId="3" fillId="5" borderId="5" xfId="0" applyNumberFormat="1" applyFont="1" applyFill="1" applyBorder="1" applyAlignment="1">
      <x:alignment wrapText="1"/>
    </x:xf>
    <x:xf numFmtId="200" fontId="3" fillId="5" borderId="5" xfId="0" applyNumberFormat="1" applyFont="1" applyFill="1" applyBorder="1" applyAlignment="1">
      <x:alignment wrapText="1"/>
    </x:xf>
    <x:xf numFmtId="0" fontId="3" fillId="6" borderId="6" xfId="0" applyNumberFormat="1" applyFont="1" applyFill="1" applyBorder="1" applyAlignment="1">
      <x:alignment wrapText="1"/>
    </x:xf>
    <x:xf numFmtId="200" fontId="3" fillId="6" borderId="6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7" xfId="0" applyNumberFormat="1" applyFont="1" applyFill="1" applyBorder="1"/>
    <x:xf numFmtId="0" fontId="4" fillId="7" borderId="8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6" fillId="7" borderId="0" xfId="0" applyNumberFormat="1" applyFont="1" applyFill="1" applyBorder="1"/>
    <x:xf numFmtId="205" fontId="6" fillId="7" borderId="0" xfId="0" applyNumberFormat="1" applyFont="1" applyFill="1" applyBorder="1"/>
    <x:xf numFmtId="205" fontId="6" fillId="7" borderId="0" xfId="0" applyNumberFormat="1" applyFont="1" applyFill="1" applyBorder="1" applyAlignment="1">
      <x:alignment horizontal="center"/>
    </x:xf>
    <x:xf numFmtId="205" fontId="6" fillId="7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6" fillId="3" borderId="0" xfId="0" applyNumberFormat="1" applyFont="1" applyFill="1" applyBorder="1"/>
    <x:xf numFmtId="205" fontId="6" fillId="3" borderId="0" xfId="0" applyNumberFormat="1" applyFont="1" applyFill="1" applyBorder="1"/>
    <x:xf numFmtId="205" fontId="6" fillId="3" borderId="0" xfId="0" applyNumberFormat="1" applyFont="1" applyFill="1" applyBorder="1" applyAlignment="1">
      <x:alignment horizontal="center"/>
    </x:xf>
    <x:xf numFmtId="205" fontId="6" fillId="3" borderId="0" xfId="0" applyNumberFormat="1" applyFont="1" applyFill="1" applyBorder="1" applyAlignment="1">
      <x:alignment horizontal="center" vertical="center"/>
    </x:xf>
    <x:xf numFmtId="203" fontId="6" fillId="3" borderId="0" xfId="0" applyNumberFormat="1" applyFont="1" applyFill="1" applyBorder="1"/>
    <x:xf numFmtId="203" fontId="6" fillId="3" borderId="0" xfId="0" applyNumberFormat="1" applyFont="1" applyFill="1" applyBorder="1" applyAlignment="1">
      <x:alignment horizontal="center"/>
    </x:xf>
    <x:xf numFmtId="203" fontId="6" fillId="3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7" xfId="0" applyNumberFormat="1" applyFont="1" applyFill="1" applyBorder="1"/>
    <x:xf numFmtId="0" fontId="4" fillId="6" borderId="9" xfId="0" applyNumberFormat="1" applyFont="1" applyFill="1" applyBorder="1"/>
    <x:xf numFmtId="0" fontId="4" fillId="6" borderId="8" xfId="0" applyNumberFormat="1" applyFont="1" applyFill="1" applyBorder="1"/>
    <x:xf numFmtId="206" fontId="6" fillId="3" borderId="0" xfId="0" applyNumberFormat="1" applyFont="1" applyFill="1" applyBorder="1"/>
    <x:xf numFmtId="206" fontId="6" fillId="3" borderId="0" xfId="0" applyNumberFormat="1" applyFont="1" applyFill="1" applyBorder="1" applyAlignment="1">
      <x:alignment horizontal="center"/>
    </x:xf>
    <x:xf numFmtId="206" fontId="6" fillId="3" borderId="0" xfId="0" applyNumberFormat="1" applyFont="1" applyFill="1" applyBorder="1" applyAlignment="1">
      <x:alignment horizontal="center" vertical="center"/>
    </x:xf>
    <x:xf numFmtId="0" fontId="4" fillId="7" borderId="9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10" xfId="0" applyNumberFormat="1" applyFont="1" applyFill="1" applyBorder="1"/>
    <x:xf numFmtId="0" fontId="3" fillId="8" borderId="11" xfId="0" applyNumberFormat="1" applyFont="1" applyFill="1" applyBorder="1"/>
    <x:xf numFmtId="0" fontId="3" fillId="8" borderId="12" xfId="0" applyNumberFormat="1" applyFont="1" applyFill="1" applyBorder="1"/>
    <x:xf numFmtId="0" fontId="3" fillId="8" borderId="13" xfId="0" applyNumberFormat="1" applyFont="1" applyFill="1" applyBorder="1"/>
    <x:xf numFmtId="0" fontId="3" fillId="8" borderId="14" xfId="0" applyNumberFormat="1" applyFont="1" applyFill="1" applyBorder="1"/>
    <x:xf numFmtId="0" fontId="3" fillId="8" borderId="15" xfId="0" applyNumberFormat="1" applyFont="1" applyFill="1" applyBorder="1"/>
    <x:xf numFmtId="0" fontId="3" fillId="8" borderId="16" xfId="0" applyNumberFormat="1" applyFont="1" applyFill="1" applyBorder="1"/>
    <x:xf numFmtId="0" fontId="3" fillId="8" borderId="17" xfId="0" applyNumberFormat="1" applyFont="1" applyFill="1" applyBorder="1"/>
    <x:xf numFmtId="0" fontId="3" fillId="8" borderId="10" xfId="0" applyNumberFormat="1" applyFont="1" applyFill="1" applyBorder="1" applyAlignment="1">
      <x:alignment wrapText="1"/>
    </x:xf>
    <x:xf numFmtId="0" fontId="3" fillId="8" borderId="11" xfId="0" applyNumberFormat="1" applyFont="1" applyFill="1" applyBorder="1" applyAlignment="1">
      <x:alignment wrapText="1"/>
    </x:xf>
    <x:xf numFmtId="0" fontId="3" fillId="8" borderId="12" xfId="0" applyNumberFormat="1" applyFont="1" applyFill="1" applyBorder="1" applyAlignment="1">
      <x:alignment wrapText="1"/>
    </x:xf>
    <x:xf numFmtId="0" fontId="3" fillId="8" borderId="13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wrapText="1"/>
    </x:xf>
    <x:xf numFmtId="0" fontId="3" fillId="8" borderId="14" xfId="0" applyNumberFormat="1" applyFont="1" applyFill="1" applyBorder="1" applyAlignment="1">
      <x:alignment wrapText="1"/>
    </x:xf>
    <x:xf numFmtId="0" fontId="3" fillId="8" borderId="15" xfId="0" applyNumberFormat="1" applyFont="1" applyFill="1" applyBorder="1" applyAlignment="1">
      <x:alignment wrapText="1"/>
    </x:xf>
    <x:xf numFmtId="0" fontId="3" fillId="8" borderId="16" xfId="0" applyNumberFormat="1" applyFont="1" applyFill="1" applyBorder="1" applyAlignment="1">
      <x:alignment wrapText="1"/>
    </x:xf>
    <x:xf numFmtId="0" fontId="3" fillId="8" borderId="17" xfId="0" applyNumberFormat="1" applyFont="1" applyFill="1" applyBorder="1" applyAlignment="1">
      <x:alignment wrapText="1"/>
    </x:xf>
    <x:xf numFmtId="0" fontId="3" fillId="8" borderId="10" xfId="0" applyNumberFormat="1" applyFont="1" applyFill="1" applyBorder="1" applyAlignment="1">
      <x:alignment vertical="center" wrapText="1"/>
    </x:xf>
    <x:xf numFmtId="0" fontId="3" fillId="8" borderId="11" xfId="0" applyNumberFormat="1" applyFont="1" applyFill="1" applyBorder="1" applyAlignment="1">
      <x:alignment vertical="center" wrapText="1"/>
    </x:xf>
    <x:xf numFmtId="0" fontId="3" fillId="8" borderId="12" xfId="0" applyNumberFormat="1" applyFont="1" applyFill="1" applyBorder="1" applyAlignment="1">
      <x:alignment vertical="center" wrapText="1"/>
    </x:xf>
    <x:xf numFmtId="0" fontId="3" fillId="8" borderId="13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vertical="center" wrapText="1"/>
    </x:xf>
    <x:xf numFmtId="0" fontId="3" fillId="8" borderId="14" xfId="0" applyNumberFormat="1" applyFont="1" applyFill="1" applyBorder="1" applyAlignment="1">
      <x:alignment vertical="center" wrapText="1"/>
    </x:xf>
    <x:xf numFmtId="0" fontId="3" fillId="8" borderId="15" xfId="0" applyNumberFormat="1" applyFont="1" applyFill="1" applyBorder="1" applyAlignment="1">
      <x:alignment vertical="center" wrapText="1"/>
    </x:xf>
    <x:xf numFmtId="0" fontId="3" fillId="8" borderId="16" xfId="0" applyNumberFormat="1" applyFont="1" applyFill="1" applyBorder="1" applyAlignment="1">
      <x:alignment vertical="center" wrapText="1"/>
    </x:xf>
    <x:xf numFmtId="0" fontId="3" fillId="8" borderId="17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f2b7dd0aee4363" /><Relationship Type="http://schemas.openxmlformats.org/officeDocument/2006/relationships/theme" Target="/xl/theme/theme1.xml" Id="R245e0ea0e5d04297" /><Relationship Type="http://schemas.openxmlformats.org/officeDocument/2006/relationships/sharedStrings" Target="/xl/sharedStrings.xml" Id="Rb2ffed58cb1a4451" /><Relationship Type="http://schemas.openxmlformats.org/officeDocument/2006/relationships/worksheet" Target="/xl/worksheets/sheet1.xml" Id="R2c8bd14ab63e4845" /><Relationship Type="http://schemas.openxmlformats.org/officeDocument/2006/relationships/worksheet" Target="/xl/worksheets/sheet2.xml" Id="Rf76034047757461f" /><Relationship Type="http://schemas.openxmlformats.org/officeDocument/2006/relationships/worksheet" Target="/xl/worksheets/sheet3.xml" Id="Rf1810ffdb33c4d30" /><Relationship Type="http://schemas.openxmlformats.org/officeDocument/2006/relationships/worksheet" Target="/xl/worksheets/sheet4.xml" Id="R0f663847ac3a4c00" /><Relationship Type="http://schemas.openxmlformats.org/officeDocument/2006/relationships/worksheet" Target="/xl/worksheets/sheet5.xml" Id="R39fa211a3fd14d7f" /><Relationship Type="http://schemas.openxmlformats.org/officeDocument/2006/relationships/worksheet" Target="/xl/worksheets/sheet6.xml" Id="R57b556db38954a85" /><Relationship Type="http://schemas.openxmlformats.org/officeDocument/2006/relationships/worksheet" Target="/xl/worksheets/sheet7.xml" Id="R496cc8850e914785" /><Relationship Type="http://schemas.openxmlformats.org/officeDocument/2006/relationships/worksheet" Target="/xl/worksheets/sheet8.xml" Id="R0e4488a9605743c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c16316390ed449f" /><Relationship Type="http://schemas.openxmlformats.org/officeDocument/2006/relationships/chart" Target="/xl/drawings/charts/chart2.xml" Id="R287ddf1e723e439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Held-out composition deviation (%p)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Mean deviation (%p)</c:v>
          </c:tx>
          <c:cat>
            <c:strRef>
              <c:f>'Executive Summary'!$A$21:$A$25</c:f>
              <c:strCache>
                <c:ptCount val="0"/>
              </c:strCache>
            </c:strRef>
          </c:cat>
          <c:val>
            <c:numRef>
              <c:f>'Executive Summary'!$B$21:$B$25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Low-grid concentration error (µM)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MAE (µM)</c:v>
          </c:tx>
          <c:cat>
            <c:strRef>
              <c:f>'Executive Summary'!$A$29:$A$30</c:f>
              <c:strCache>
                <c:ptCount val="0"/>
              </c:strCache>
            </c:strRef>
          </c:cat>
          <c:val>
            <c:numRef>
              <c:f>'Executive Summary'!$B$29:$B$30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Euclidean (µM)</c:v>
          </c:tx>
          <c:cat>
            <c:strRef>
              <c:f>'Executive Summary'!$A$29:$A$30</c:f>
              <c:strCache>
                <c:ptCount val="0"/>
              </c:strCache>
            </c:strRef>
          </c:cat>
          <c:val>
            <c:numRef>
              <c:f>'Executive Summary'!$C$29:$C$30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19</xdr:row>
      <xdr:rowOff>0</xdr:rowOff>
    </xdr:from>
    <xdr:to>
      <xdr:col>13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16316390ed449f"/>
        </a:graphicData>
      </a:graphic>
    </xdr:graphicFrame>
    <xdr:clientData/>
  </xdr:twoCellAnchor>
  <xdr:twoCellAnchor>
    <xdr:from>
      <xdr:col>5</xdr:col>
      <xdr:colOff>0</xdr:colOff>
      <xdr:row>36</xdr:row>
      <xdr:rowOff>0</xdr:rowOff>
    </xdr:from>
    <xdr:to>
      <xdr:col>13</xdr:col>
      <xdr:colOff>0</xdr:colOff>
      <xdr:row>51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87ddf1e723e439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4b3aeade26f42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13.130000114440918" hidden="0" customWidth="1"/>
    <x:col min="3" max="3" width="13.130000114440918" hidden="0" customWidth="1"/>
    <x:col min="4" max="4" width="13.130000114440918" hidden="0" customWidth="1"/>
    <x:col min="5" max="5" width="13.130000114440918" hidden="0" customWidth="1"/>
    <x:col min="6" max="6" width="13.130000114440918" hidden="0" customWidth="1"/>
    <x:col min="7" max="7" width="13.130000114440918" hidden="0" customWidth="1"/>
    <x:col min="8" max="8" width="13.130000114440918" hidden="0" customWidth="1"/>
  </x:cols>
  <x:sheetData>
    <x:row r="1" ht="28" customHeight="1">
      <x:c r="A1" s="4" t="str">
        <x:v>UNMIXR integrated re-evaluation — final held-out results</x:v>
      </x:c>
      <x:c r="B1" s="4" t="str">
        <x:v>UNMIXR integrated re-evaluation — final held-out results</x:v>
      </x:c>
      <x:c r="C1" s="4" t="str">
        <x:v>UNMIXR integrated re-evaluation — final held-out results</x:v>
      </x:c>
      <x:c r="D1" s="4" t="str">
        <x:v>UNMIXR integrated re-evaluation — final held-out results</x:v>
      </x:c>
      <x:c r="E1" s="4" t="str">
        <x:v>UNMIXR integrated re-evaluation — final held-out results</x:v>
      </x:c>
      <x:c r="F1" s="4" t="str">
        <x:v>UNMIXR integrated re-evaluation — final held-out results</x:v>
      </x:c>
      <x:c r="G1" s="4" t="str">
        <x:v>UNMIXR integrated re-evaluation — final held-out results</x:v>
      </x:c>
      <x:c r="H1" s="4" t="str">
        <x:v>UNMIXR integrated re-evaluation — final held-out results</x:v>
      </x:c>
    </x:row>
    <x:row r="2" ht="28" customHeight="1">
      <x:c r="A2" s="4" t="str">
        <x:v>UNMIXR integrated re-evaluation — final held-out results</x:v>
      </x:c>
      <x:c r="B2" s="4" t="str">
        <x:v>UNMIXR integrated re-evaluation — final held-out results</x:v>
      </x:c>
      <x:c r="C2" s="4" t="str">
        <x:v>UNMIXR integrated re-evaluation — final held-out results</x:v>
      </x:c>
      <x:c r="D2" s="4" t="str">
        <x:v>UNMIXR integrated re-evaluation — final held-out results</x:v>
      </x:c>
      <x:c r="E2" s="4" t="str">
        <x:v>UNMIXR integrated re-evaluation — final held-out results</x:v>
      </x:c>
      <x:c r="F2" s="4" t="str">
        <x:v>UNMIXR integrated re-evaluation — final held-out results</x:v>
      </x:c>
      <x:c r="G2" s="4" t="str">
        <x:v>UNMIXR integrated re-evaluation — final held-out results</x:v>
      </x:c>
      <x:c r="H2" s="4" t="str">
        <x:v>UNMIXR integrated re-evaluation — final held-out results</x:v>
      </x:c>
    </x:row>
    <x:row r="4">
      <x:c r="A4" s="66" t="str">
        <x:v>Dataset</x:v>
      </x:c>
      <x:c r="B4" s="67" t="str">
        <x:v>Dataset</x:v>
      </x:c>
      <x:c r="C4" s="66" t="str">
        <x:v>Best composition deviation</x:v>
      </x:c>
      <x:c r="D4" s="67" t="str">
        <x:v>Best composition deviation</x:v>
      </x:c>
      <x:c r="E4" s="79" t="str">
        <x:v>Selected MLP</x:v>
      </x:c>
      <x:c r="F4" s="80" t="str">
        <x:v>Selected MLP</x:v>
      </x:c>
      <x:c r="G4" s="79" t="str">
        <x:v>MLP binary AUC</x:v>
      </x:c>
      <x:c r="H4" s="80" t="str">
        <x:v>MLP binary AUC</x:v>
      </x:c>
    </x:row>
    <x:row r="5">
      <x:c r="A5" s="72" t="str">
        <x:v>89 maps
21 binary · 68 ternary
9 ≥100× excluded</x:v>
      </x:c>
      <x:c r="B5" s="72" t="str">
        <x:v>89 maps
21 binary · 68 ternary
9 ≥100× excluded</x:v>
      </x:c>
      <x:c r="C5" s="76" t="n">
        <x:f>MIN('Composition Summary'!C5:C9)</x:f>
        <x:v>15.258812169039938</x:v>
      </x:c>
      <x:c r="D5" s="76"/>
      <x:c r="E5" s="84" t="n">
        <x:f>'Composition Summary'!C9</x:f>
        <x:v>17.485205045430234</x:v>
      </x:c>
      <x:c r="F5" s="84"/>
      <x:c r="G5" s="87" t="n">
        <x:f>'Composition Summary'!G9</x:f>
        <x:v>0.9058956916099773</x:v>
      </x:c>
      <x:c r="H5" s="87"/>
    </x:row>
    <x:row r="6">
      <x:c r="A6" s="72" t="str">
        <x:v>89 maps
21 binary · 68 ternary
9 ≥100× excluded</x:v>
      </x:c>
      <x:c r="B6" s="72" t="str">
        <x:v>89 maps
21 binary · 68 ternary
9 ≥100× excluded</x:v>
      </x:c>
      <x:c r="C6" s="76"/>
      <x:c r="D6" s="76"/>
      <x:c r="E6" s="84"/>
      <x:c r="F6" s="84"/>
      <x:c r="G6" s="87"/>
      <x:c r="H6" s="87"/>
    </x:row>
    <x:row r="8">
      <x:c r="A8" s="90" t="str">
        <x:v>Primary concentration claim: low-concentration ternary grid (64 maps; within 1–100 µM calibration range)</x:v>
      </x:c>
      <x:c r="B8" s="91" t="str">
        <x:v>Primary concentration claim: low-concentration ternary grid (64 maps; within 1–100 µM calibration range)</x:v>
      </x:c>
      <x:c r="C8" s="91" t="str">
        <x:v>Primary concentration claim: low-concentration ternary grid (64 maps; within 1–100 µM calibration range)</x:v>
      </x:c>
      <x:c r="D8" s="91" t="str">
        <x:v>Primary concentration claim: low-concentration ternary grid (64 maps; within 1–100 µM calibration range)</x:v>
      </x:c>
      <x:c r="E8" s="91" t="str">
        <x:v>Primary concentration claim: low-concentration ternary grid (64 maps; within 1–100 µM calibration range)</x:v>
      </x:c>
      <x:c r="F8" s="91" t="str">
        <x:v>Primary concentration claim: low-concentration ternary grid (64 maps; within 1–100 µM calibration range)</x:v>
      </x:c>
      <x:c r="G8" s="91" t="str">
        <x:v>Primary concentration claim: low-concentration ternary grid (64 maps; within 1–100 µM calibration range)</x:v>
      </x:c>
      <x:c r="H8" s="92" t="str">
        <x:v>Primary concentration claim: low-concentration ternary grid (64 maps; within 1–100 µM calibration range)</x:v>
      </x:c>
    </x:row>
    <x:row r="10">
      <x:c r="A10" s="66" t="str">
        <x:v>Mean recovery</x:v>
      </x:c>
      <x:c r="B10" s="67" t="str">
        <x:v>Mean recovery</x:v>
      </x:c>
      <x:c r="C10" s="66" t="str">
        <x:v>Median recovery</x:v>
      </x:c>
      <x:c r="D10" s="67" t="str">
        <x:v>Median recovery</x:v>
      </x:c>
      <x:c r="E10" s="66" t="str">
        <x:v>MAE reduction</x:v>
      </x:c>
      <x:c r="F10" s="67" t="str">
        <x:v>MAE reduction</x:v>
      </x:c>
      <x:c r="G10" s="66" t="str">
        <x:v>Euclidean reduction</x:v>
      </x:c>
      <x:c r="H10" s="67" t="str">
        <x:v>Euclidean reduction</x:v>
      </x:c>
    </x:row>
    <x:row r="11">
      <x:c r="A11" s="95" t="n">
        <x:f>'Concentration Summary'!E18</x:f>
        <x:v>120.04464995962539</x:v>
      </x:c>
      <x:c r="B11" s="95"/>
      <x:c r="C11" s="95" t="n">
        <x:f>'Concentration Summary'!F18</x:f>
        <x:v>104.23243397837263</x:v>
      </x:c>
      <x:c r="D11" s="95"/>
      <x:c r="E11" s="95" t="n">
        <x:v>43.13722654267244</x:v>
      </x:c>
      <x:c r="F11" s="95" t="n">
        <x:v>43.13722654267244</x:v>
      </x:c>
      <x:c r="G11" s="95" t="n">
        <x:v>45.1987848356978</x:v>
      </x:c>
      <x:c r="H11" s="95" t="n">
        <x:v>45.1987848356978</x:v>
      </x:c>
    </x:row>
    <x:row r="12">
      <x:c r="A12" s="95"/>
      <x:c r="B12" s="95"/>
      <x:c r="C12" s="95"/>
      <x:c r="D12" s="95"/>
      <x:c r="E12" s="95" t="n">
        <x:v>43.13722654267244</x:v>
      </x:c>
      <x:c r="F12" s="95" t="n">
        <x:v>43.13722654267244</x:v>
      </x:c>
      <x:c r="G12" s="95" t="n">
        <x:v>45.1987848356978</x:v>
      </x:c>
      <x:c r="H12" s="95" t="n">
        <x:v>45.1987848356978</x:v>
      </x:c>
    </x:row>
    <x:row r="15">
      <x:c r="A15" s="66" t="str">
        <x:v>Final interpretation</x:v>
      </x:c>
      <x:c r="B15" s="96" t="str">
        <x:v>Final interpretation</x:v>
      </x:c>
      <x:c r="C15" s="96" t="str">
        <x:v>Final interpretation</x:v>
      </x:c>
      <x:c r="D15" s="96" t="str">
        <x:v>Final interpretation</x:v>
      </x:c>
      <x:c r="E15" s="96" t="str">
        <x:v>Final interpretation</x:v>
      </x:c>
      <x:c r="F15" s="96" t="str">
        <x:v>Final interpretation</x:v>
      </x:c>
      <x:c r="G15" s="96" t="str">
        <x:v>Final interpretation</x:v>
      </x:c>
      <x:c r="H15" s="67" t="str">
        <x:v>Final interpretation</x:v>
      </x:c>
    </x:row>
    <x:row r="16">
      <x:c r="A16" s="116" t="str">
        <x:v>Use the full-spectrum MLP as the unified spatial/composition backbone, benchmarked transparently against PLS/RF/CNN/NNLS. Use the calibration-guided residual MLP for quantitative concentration only within the validated 1–100 µM range. High binary samples (50–500 µM) remain extrapolative and should be reported as a limitation, not merged into the primary recovery claim.</x:v>
      </x:c>
      <x:c r="B16" s="117" t="str">
        <x:v>Use the full-spectrum MLP as the unified spatial/composition backbone, benchmarked transparently against PLS/RF/CNN/NNLS. Use the calibration-guided residual MLP for quantitative concentration only within the validated 1–100 µM range. High binary samples (50–500 µM) remain extrapolative and should be reported as a limitation, not merged into the primary recovery claim.</x:v>
      </x:c>
      <x:c r="C16" s="117" t="str">
        <x:v>Use the full-spectrum MLP as the unified spatial/composition backbone, benchmarked transparently against PLS/RF/CNN/NNLS. Use the calibration-guided residual MLP for quantitative concentration only within the validated 1–100 µM range. High binary samples (50–500 µM) remain extrapolative and should be reported as a limitation, not merged into the primary recovery claim.</x:v>
      </x:c>
      <x:c r="D16" s="117" t="str">
        <x:v>Use the full-spectrum MLP as the unified spatial/composition backbone, benchmarked transparently against PLS/RF/CNN/NNLS. Use the calibration-guided residual MLP for quantitative concentration only within the validated 1–100 µM range. High binary samples (50–500 µM) remain extrapolative and should be reported as a limitation, not merged into the primary recovery claim.</x:v>
      </x:c>
      <x:c r="E16" s="117" t="str">
        <x:v>Use the full-spectrum MLP as the unified spatial/composition backbone, benchmarked transparently against PLS/RF/CNN/NNLS. Use the calibration-guided residual MLP for quantitative concentration only within the validated 1–100 µM range. High binary samples (50–500 µM) remain extrapolative and should be reported as a limitation, not merged into the primary recovery claim.</x:v>
      </x:c>
      <x:c r="F16" s="117" t="str">
        <x:v>Use the full-spectrum MLP as the unified spatial/composition backbone, benchmarked transparently against PLS/RF/CNN/NNLS. Use the calibration-guided residual MLP for quantitative concentration only within the validated 1–100 µM range. High binary samples (50–500 µM) remain extrapolative and should be reported as a limitation, not merged into the primary recovery claim.</x:v>
      </x:c>
      <x:c r="G16" s="117" t="str">
        <x:v>Use the full-spectrum MLP as the unified spatial/composition backbone, benchmarked transparently against PLS/RF/CNN/NNLS. Use the calibration-guided residual MLP for quantitative concentration only within the validated 1–100 µM range. High binary samples (50–500 µM) remain extrapolative and should be reported as a limitation, not merged into the primary recovery claim.</x:v>
      </x:c>
      <x:c r="H16" s="118" t="str">
        <x:v>Use the full-spectrum MLP as the unified spatial/composition backbone, benchmarked transparently against PLS/RF/CNN/NNLS. Use the calibration-guided residual MLP for quantitative concentration only within the validated 1–100 µM range. High binary samples (50–500 µM) remain extrapolative and should be reported as a limitation, not merged into the primary recovery claim.</x:v>
      </x:c>
    </x:row>
    <x:row r="17">
      <x:c r="A17" s="119" t="str">
        <x:v>Use the full-spectrum MLP as the unified spatial/composition backbone, benchmarked transparently against PLS/RF/CNN/NNLS. Use the calibration-guided residual MLP for quantitative concentration only within the validated 1–100 µM range. High binary samples (50–500 µM) remain extrapolative and should be reported as a limitation, not merged into the primary recovery claim.</x:v>
      </x:c>
      <x:c r="B17" s="120" t="str">
        <x:v>Use the full-spectrum MLP as the unified spatial/composition backbone, benchmarked transparently against PLS/RF/CNN/NNLS. Use the calibration-guided residual MLP for quantitative concentration only within the validated 1–100 µM range. High binary samples (50–500 µM) remain extrapolative and should be reported as a limitation, not merged into the primary recovery claim.</x:v>
      </x:c>
      <x:c r="C17" s="120" t="str">
        <x:v>Use the full-spectrum MLP as the unified spatial/composition backbone, benchmarked transparently against PLS/RF/CNN/NNLS. Use the calibration-guided residual MLP for quantitative concentration only within the validated 1–100 µM range. High binary samples (50–500 µM) remain extrapolative and should be reported as a limitation, not merged into the primary recovery claim.</x:v>
      </x:c>
      <x:c r="D17" s="120" t="str">
        <x:v>Use the full-spectrum MLP as the unified spatial/composition backbone, benchmarked transparently against PLS/RF/CNN/NNLS. Use the calibration-guided residual MLP for quantitative concentration only within the validated 1–100 µM range. High binary samples (50–500 µM) remain extrapolative and should be reported as a limitation, not merged into the primary recovery claim.</x:v>
      </x:c>
      <x:c r="E17" s="120" t="str">
        <x:v>Use the full-spectrum MLP as the unified spatial/composition backbone, benchmarked transparently against PLS/RF/CNN/NNLS. Use the calibration-guided residual MLP for quantitative concentration only within the validated 1–100 µM range. High binary samples (50–500 µM) remain extrapolative and should be reported as a limitation, not merged into the primary recovery claim.</x:v>
      </x:c>
      <x:c r="F17" s="120" t="str">
        <x:v>Use the full-spectrum MLP as the unified spatial/composition backbone, benchmarked transparently against PLS/RF/CNN/NNLS. Use the calibration-guided residual MLP for quantitative concentration only within the validated 1–100 µM range. High binary samples (50–500 µM) remain extrapolative and should be reported as a limitation, not merged into the primary recovery claim.</x:v>
      </x:c>
      <x:c r="G17" s="120" t="str">
        <x:v>Use the full-spectrum MLP as the unified spatial/composition backbone, benchmarked transparently against PLS/RF/CNN/NNLS. Use the calibration-guided residual MLP for quantitative concentration only within the validated 1–100 µM range. High binary samples (50–500 µM) remain extrapolative and should be reported as a limitation, not merged into the primary recovery claim.</x:v>
      </x:c>
      <x:c r="H17" s="121" t="str">
        <x:v>Use the full-spectrum MLP as the unified spatial/composition backbone, benchmarked transparently against PLS/RF/CNN/NNLS. Use the calibration-guided residual MLP for quantitative concentration only within the validated 1–100 µM range. High binary samples (50–500 µM) remain extrapolative and should be reported as a limitation, not merged into the primary recovery claim.</x:v>
      </x:c>
    </x:row>
    <x:row r="18">
      <x:c r="A18" s="122" t="str">
        <x:v>Use the full-spectrum MLP as the unified spatial/composition backbone, benchmarked transparently against PLS/RF/CNN/NNLS. Use the calibration-guided residual MLP for quantitative concentration only within the validated 1–100 µM range. High binary samples (50–500 µM) remain extrapolative and should be reported as a limitation, not merged into the primary recovery claim.</x:v>
      </x:c>
      <x:c r="B18" s="123" t="str">
        <x:v>Use the full-spectrum MLP as the unified spatial/composition backbone, benchmarked transparently against PLS/RF/CNN/NNLS. Use the calibration-guided residual MLP for quantitative concentration only within the validated 1–100 µM range. High binary samples (50–500 µM) remain extrapolative and should be reported as a limitation, not merged into the primary recovery claim.</x:v>
      </x:c>
      <x:c r="C18" s="123" t="str">
        <x:v>Use the full-spectrum MLP as the unified spatial/composition backbone, benchmarked transparently against PLS/RF/CNN/NNLS. Use the calibration-guided residual MLP for quantitative concentration only within the validated 1–100 µM range. High binary samples (50–500 µM) remain extrapolative and should be reported as a limitation, not merged into the primary recovery claim.</x:v>
      </x:c>
      <x:c r="D18" s="123" t="str">
        <x:v>Use the full-spectrum MLP as the unified spatial/composition backbone, benchmarked transparently against PLS/RF/CNN/NNLS. Use the calibration-guided residual MLP for quantitative concentration only within the validated 1–100 µM range. High binary samples (50–500 µM) remain extrapolative and should be reported as a limitation, not merged into the primary recovery claim.</x:v>
      </x:c>
      <x:c r="E18" s="123" t="str">
        <x:v>Use the full-spectrum MLP as the unified spatial/composition backbone, benchmarked transparently against PLS/RF/CNN/NNLS. Use the calibration-guided residual MLP for quantitative concentration only within the validated 1–100 µM range. High binary samples (50–500 µM) remain extrapolative and should be reported as a limitation, not merged into the primary recovery claim.</x:v>
      </x:c>
      <x:c r="F18" s="123" t="str">
        <x:v>Use the full-spectrum MLP as the unified spatial/composition backbone, benchmarked transparently against PLS/RF/CNN/NNLS. Use the calibration-guided residual MLP for quantitative concentration only within the validated 1–100 µM range. High binary samples (50–500 µM) remain extrapolative and should be reported as a limitation, not merged into the primary recovery claim.</x:v>
      </x:c>
      <x:c r="G18" s="123" t="str">
        <x:v>Use the full-spectrum MLP as the unified spatial/composition backbone, benchmarked transparently against PLS/RF/CNN/NNLS. Use the calibration-guided residual MLP for quantitative concentration only within the validated 1–100 µM range. High binary samples (50–500 µM) remain extrapolative and should be reported as a limitation, not merged into the primary recovery claim.</x:v>
      </x:c>
      <x:c r="H18" s="124" t="str">
        <x:v>Use the full-spectrum MLP as the unified spatial/composition backbone, benchmarked transparently against PLS/RF/CNN/NNLS. Use the calibration-guided residual MLP for quantitative concentration only within the validated 1–100 µM range. High binary samples (50–500 µM) remain extrapolative and should be reported as a limitation, not merged into the primary recovery claim.</x:v>
      </x:c>
    </x:row>
    <x:row r="20">
      <x:c r="A20" s="15" t="str">
        <x:v>Method</x:v>
      </x:c>
      <x:c r="B20" s="16" t="str">
        <x:v>Mean deviation (%p)</x:v>
      </x:c>
      <x:c r="C20" s="16" t="str">
        <x:v>SE (%p)</x:v>
      </x:c>
      <x:c r="D20" s="17" t="str">
        <x:v>Binary AUC</x:v>
      </x:c>
    </x:row>
    <x:row r="21">
      <x:c r="A21" t="str">
        <x:v>NNLS</x:v>
      </x:c>
      <x:c r="B21" s="125" t="n">
        <x:v>20.08713584637385</x:v>
      </x:c>
      <x:c r="C21" s="125" t="n">
        <x:v>1.6016709549510704</x:v>
      </x:c>
      <x:c r="D21" s="125" t="n">
        <x:v>0.9132653061224488</x:v>
      </x:c>
    </x:row>
    <x:row r="22">
      <x:c r="A22" t="str">
        <x:v>PLS</x:v>
      </x:c>
      <x:c r="B22" s="125" t="n">
        <x:v>15.258812169039938</x:v>
      </x:c>
      <x:c r="C22" s="125" t="n">
        <x:v>1.0845013918610886</x:v>
      </x:c>
      <x:c r="D22" s="125" t="n">
        <x:v>0.9297052154195011</x:v>
      </x:c>
    </x:row>
    <x:row r="23">
      <x:c r="A23" t="str">
        <x:v>RF</x:v>
      </x:c>
      <x:c r="B23" s="125" t="n">
        <x:v>17.06293023772811</x:v>
      </x:c>
      <x:c r="C23" s="125" t="n">
        <x:v>1.0702565304505733</x:v>
      </x:c>
      <x:c r="D23" s="125" t="n">
        <x:v>0.9410430839002267</x:v>
      </x:c>
    </x:row>
    <x:row r="24">
      <x:c r="A24" t="str">
        <x:v>1D-CNN</x:v>
      </x:c>
      <x:c r="B24" s="125" t="n">
        <x:v>20.87114492643512</x:v>
      </x:c>
      <x:c r="C24" s="125" t="n">
        <x:v>1.452020910069198</x:v>
      </x:c>
      <x:c r="D24" s="125" t="n">
        <x:v>0.81859410430839</x:v>
      </x:c>
    </x:row>
    <x:row r="25">
      <x:c r="A25" t="str">
        <x:v>MLP</x:v>
      </x:c>
      <x:c r="B25" s="125" t="n">
        <x:v>17.485205045430234</x:v>
      </x:c>
      <x:c r="C25" s="125" t="n">
        <x:v>1.2575932241328007</x:v>
      </x:c>
      <x:c r="D25" s="125" t="n">
        <x:v>0.9058956916099773</x:v>
      </x:c>
    </x:row>
    <x:row r="28">
      <x:c r="A28" s="15" t="str">
        <x:v>Method</x:v>
      </x:c>
      <x:c r="B28" s="16" t="str">
        <x:v>MAE (µM)</x:v>
      </x:c>
      <x:c r="C28" s="17" t="str">
        <x:v>Euclidean (µM)</x:v>
      </x:c>
    </x:row>
    <x:row r="29">
      <x:c r="A29" t="str">
        <x:v>Single calibration</x:v>
      </x:c>
      <x:c r="B29" s="125" t="n">
        <x:v>8.806247131374958</x:v>
      </x:c>
      <x:c r="C29" s="125" t="n">
        <x:v>19.1309311741923</x:v>
      </x:c>
    </x:row>
    <x:row r="30">
      <x:c r="A30" t="str">
        <x:v>Residual MLP</x:v>
      </x:c>
      <x:c r="B30" s="125" t="n">
        <x:v>5.00747635640615</x:v>
      </x:c>
      <x:c r="C30" s="125" t="n">
        <x:v>10.483982755703686</x:v>
      </x:c>
    </x:row>
  </x:sheetData>
  <x:mergeCells>
    <x:mergeCell ref="A1:H2"/>
    <x:mergeCell ref="A4:B4"/>
    <x:mergeCell ref="A5:B6"/>
    <x:mergeCell ref="C4:D4"/>
    <x:mergeCell ref="C5:D6"/>
    <x:mergeCell ref="E4:F4"/>
    <x:mergeCell ref="E5:F6"/>
    <x:mergeCell ref="G4:H4"/>
    <x:mergeCell ref="G5:H6"/>
    <x:mergeCell ref="A8:H8"/>
    <x:mergeCell ref="A10:B10"/>
    <x:mergeCell ref="A11:B12"/>
    <x:mergeCell ref="C10:D10"/>
    <x:mergeCell ref="C11:D12"/>
    <x:mergeCell ref="E10:F10"/>
    <x:mergeCell ref="E11:F12"/>
    <x:mergeCell ref="G10:H10"/>
    <x:mergeCell ref="G11:H12"/>
    <x:mergeCell ref="A15:H15"/>
    <x:mergeCell ref="A16:H18"/>
  </x:mergeCells>
  <x:pageMargins left="0.7" right="0.7" top="0.75" bottom="0.75" header="0.3" footer="0.3"/>
  <x:drawing xmlns:r="http://schemas.openxmlformats.org/officeDocument/2006/relationships" r:id="R74b3aeade26f428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31.8799991607666" hidden="0" customWidth="1"/>
    <x:col min="3" max="3" width="44.380001068115234" hidden="0" customWidth="1"/>
    <x:col min="4" max="4" width="17.5" hidden="0" customWidth="1"/>
  </x:cols>
  <x:sheetData>
    <x:row r="1" ht="28" customHeight="1">
      <x:c r="A1" s="4" t="str">
        <x:v>Re-evaluation protocol and metric definitions</x:v>
      </x:c>
      <x:c r="B1" s="4" t="str">
        <x:v>Re-evaluation protocol and metric definitions</x:v>
      </x:c>
      <x:c r="C1" s="4" t="str">
        <x:v>Re-evaluation protocol and metric definitions</x:v>
      </x:c>
      <x:c r="D1" s="4" t="str">
        <x:v>Re-evaluation protocol and metric definitions</x:v>
      </x:c>
    </x:row>
    <x:row r="2" ht="28" customHeight="1">
      <x:c r="A2" s="4" t="str">
        <x:v>Re-evaluation protocol and metric definitions</x:v>
      </x:c>
      <x:c r="B2" s="4" t="str">
        <x:v>Re-evaluation protocol and metric definitions</x:v>
      </x:c>
      <x:c r="C2" s="4" t="str">
        <x:v>Re-evaluation protocol and metric definitions</x:v>
      </x:c>
      <x:c r="D2" s="4" t="str">
        <x:v>Re-evaluation protocol and metric definitions</x:v>
      </x:c>
    </x:row>
    <x:row r="4">
      <x:c r="A4" s="15" t="str">
        <x:v>Field</x:v>
      </x:c>
      <x:c r="B4" s="16" t="str">
        <x:v>Value</x:v>
      </x:c>
      <x:c r="C4" s="16" t="str">
        <x:v>Rationale / interpretation</x:v>
      </x:c>
      <x:c r="D4" s="17" t="str">
        <x:v>Status</x:v>
      </x:c>
    </x:row>
    <x:row r="5">
      <x:c r="A5" s="46" t="str">
        <x:v>Dataset</x:v>
      </x:c>
      <x:c r="B5" s="46" t="str">
        <x:v>89 real Raman maps; 24 NNLS-screened pixels/map</x:v>
      </x:c>
      <x:c r="C5" s="46" t="str">
        <x:v>Binary 21; ternary 68</x:v>
      </x:c>
      <x:c r="D5" s="47" t="str">
        <x:v>fixed</x:v>
      </x:c>
    </x:row>
    <x:row r="6">
      <x:c r="A6" s="48" t="str">
        <x:v>Exclusion</x:v>
      </x:c>
      <x:c r="B6" s="48" t="str">
        <x:v>9 conditions with ≥100× component imbalance</x:v>
      </x:c>
      <x:c r="C6" s="48" t="str">
        <x:v>Predeclared extreme-ratio exclusion</x:v>
      </x:c>
      <x:c r="D6" s="49" t="str">
        <x:v>fixed</x:v>
      </x:c>
    </x:row>
    <x:row r="7">
      <x:c r="A7" s="48" t="str">
        <x:v>Composition CV</x:v>
      </x:c>
      <x:c r="B7" s="48" t="str">
        <x:v>Ratio-condition-grouped 5-fold</x:v>
      </x:c>
      <x:c r="C7" s="48" t="str">
        <x:v>Same ratio never appears in train and held-out fold</x:v>
      </x:c>
      <x:c r="D7" s="49" t="str">
        <x:v>held-out</x:v>
      </x:c>
    </x:row>
    <x:row r="8">
      <x:c r="A8" s="48" t="str">
        <x:v>Concentration CV</x:v>
      </x:c>
      <x:c r="B8" s="48" t="str">
        <x:v>Absolute-condition-grouped outer 5-fold</x:v>
      </x:c>
      <x:c r="C8" s="48" t="str">
        <x:v>Residual head sees no held-out concentration label</x:v>
      </x:c>
      <x:c r="D8" s="49" t="str">
        <x:v>held-out</x:v>
      </x:c>
    </x:row>
    <x:row r="9">
      <x:c r="A9" s="48" t="str">
        <x:v>Composition MLP</x:v>
      </x:c>
      <x:c r="B9" s="48" t="str">
        <x:v>2001-channel log(1+x) → 256 → 64 → softmax 3</x:v>
      </x:c>
      <x:c r="C9" s="48" t="str">
        <x:v>Full Raman spectrum; map-pooled loss + 0.05 pixel auxiliary loss</x:v>
      </x:c>
      <x:c r="D9" s="49" t="str">
        <x:v>selected backbone</x:v>
      </x:c>
    </x:row>
    <x:row r="10">
      <x:c r="A10" s="48" t="str">
        <x:v>Calibration bands</x:v>
      </x:c>
      <x:c r="B10" s="48" t="str">
        <x:v>DQ 1570; TBZ 1270; THI 1367 cm⁻¹</x:v>
      </x:c>
      <x:c r="C10" s="48" t="str">
        <x:v>±10 cm⁻¹ local maximum; probability-weighted map pooling</x:v>
      </x:c>
      <x:c r="D10" s="49" t="str">
        <x:v>fixed physics anchor</x:v>
      </x:c>
    </x:row>
    <x:row r="11">
      <x:c r="A11" s="48" t="str">
        <x:v>Concentration head</x:v>
      </x:c>
      <x:c r="B11" s="48" t="str">
        <x:v>12 features → 128 → 32 → Δlog10 C</x:v>
      </x:c>
      <x:c r="C11" s="48" t="str">
        <x:v>Cfinal = Ccal × 10^(Δlog10 C)</x:v>
      </x:c>
      <x:c r="D11" s="49" t="str">
        <x:v>selected</x:v>
      </x:c>
    </x:row>
    <x:row r="12">
      <x:c r="A12" s="48" t="str">
        <x:v>Calibration range</x:v>
      </x:c>
      <x:c r="B12" s="48" t="str">
        <x:v>1–100 µM</x:v>
      </x:c>
      <x:c r="C12" s="48" t="str">
        <x:v>Low-grid 64 maps are inside range; high binary is extrapolation</x:v>
      </x:c>
      <x:c r="D12" s="49" t="str">
        <x:v>critical limitation</x:v>
      </x:c>
    </x:row>
    <x:row r="13">
      <x:c r="A13" s="48" t="str">
        <x:v>Composition error</x:v>
      </x:c>
      <x:c r="B13" s="48" t="str">
        <x:v>0.5 × Σ|prediction−truth| × 100</x:v>
      </x:c>
      <x:c r="C13" s="48" t="str">
        <x:v>Percentage-point simplex distance</x:v>
      </x:c>
      <x:c r="D13" s="49" t="str">
        <x:v>primary composition metric</x:v>
      </x:c>
    </x:row>
    <x:row r="14">
      <x:c r="A14" s="48" t="str">
        <x:v>Recovery</x:v>
      </x:c>
      <x:c r="B14" s="48" t="str">
        <x:v>prediction / truth × 100</x:v>
      </x:c>
      <x:c r="C14" s="48" t="str">
        <x:v>Undefined for absent components; direction-sensitive</x:v>
      </x:c>
      <x:c r="D14" s="49" t="str">
        <x:v>report with MAE</x:v>
      </x:c>
    </x:row>
    <x:row r="15">
      <x:c r="A15" s="50" t="str">
        <x:v>Euclidean error</x:v>
      </x:c>
      <x:c r="B15" s="50" t="str">
        <x:v>sqrt(Σ(Cpred−Ctrue)²)</x:v>
      </x:c>
      <x:c r="C15" s="50" t="str">
        <x:v>Three-component concentration-vector distance</x:v>
      </x:c>
      <x:c r="D15" s="51" t="str">
        <x:v>secondary concentration metric</x:v>
      </x:c>
    </x:row>
  </x:sheetData>
  <x:mergeCells>
    <x:mergeCell ref="A1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8.75" hidden="0" customWidth="1"/>
    <x:col min="3" max="3" width="15.630000114440918" hidden="0" customWidth="1"/>
    <x:col min="4" max="4" width="10" hidden="0" customWidth="1"/>
    <x:col min="5" max="5" width="15.630000114440918" hidden="0" customWidth="1"/>
    <x:col min="6" max="6" width="12.5" hidden="0" customWidth="1"/>
    <x:col min="7" max="7" width="10.630000114440918" hidden="0" customWidth="1"/>
    <x:col min="8" max="8" width="13.130000114440918" hidden="0" customWidth="1"/>
    <x:col min="9" max="9" width="13.130000114440918" hidden="0" customWidth="1"/>
    <x:col min="10" max="10" width="13.130000114440918" hidden="0" customWidth="1"/>
  </x:cols>
  <x:sheetData>
    <x:row r="1" ht="28" customHeight="1">
      <x:c r="A1" s="4" t="str">
        <x:v>Composition benchmark — 89 held-out maps (≥100× imbalance excluded)</x:v>
      </x:c>
      <x:c r="B1" s="4" t="str">
        <x:v>Composition benchmark — 89 held-out maps (≥100× imbalance excluded)</x:v>
      </x:c>
      <x:c r="C1" s="4" t="str">
        <x:v>Composition benchmark — 89 held-out maps (≥100× imbalance excluded)</x:v>
      </x:c>
      <x:c r="D1" s="4" t="str">
        <x:v>Composition benchmark — 89 held-out maps (≥100× imbalance excluded)</x:v>
      </x:c>
      <x:c r="E1" s="4" t="str">
        <x:v>Composition benchmark — 89 held-out maps (≥100× imbalance excluded)</x:v>
      </x:c>
      <x:c r="F1" s="4" t="str">
        <x:v>Composition benchmark — 89 held-out maps (≥100× imbalance excluded)</x:v>
      </x:c>
      <x:c r="G1" s="4" t="str">
        <x:v>Composition benchmark — 89 held-out maps (≥100× imbalance excluded)</x:v>
      </x:c>
      <x:c r="H1" s="4" t="str">
        <x:v>Composition benchmark — 89 held-out maps (≥100× imbalance excluded)</x:v>
      </x:c>
      <x:c r="I1" s="4" t="str">
        <x:v>Composition benchmark — 89 held-out maps (≥100× imbalance excluded)</x:v>
      </x:c>
      <x:c r="J1" s="4" t="str">
        <x:v>Composition benchmark — 89 held-out maps (≥100× imbalance excluded)</x:v>
      </x:c>
    </x:row>
    <x:row r="2" ht="28" customHeight="1">
      <x:c r="A2" s="4" t="str">
        <x:v>Composition benchmark — 89 held-out maps (≥100× imbalance excluded)</x:v>
      </x:c>
      <x:c r="B2" s="4" t="str">
        <x:v>Composition benchmark — 89 held-out maps (≥100× imbalance excluded)</x:v>
      </x:c>
      <x:c r="C2" s="4" t="str">
        <x:v>Composition benchmark — 89 held-out maps (≥100× imbalance excluded)</x:v>
      </x:c>
      <x:c r="D2" s="4" t="str">
        <x:v>Composition benchmark — 89 held-out maps (≥100× imbalance excluded)</x:v>
      </x:c>
      <x:c r="E2" s="4" t="str">
        <x:v>Composition benchmark — 89 held-out maps (≥100× imbalance excluded)</x:v>
      </x:c>
      <x:c r="F2" s="4" t="str">
        <x:v>Composition benchmark — 89 held-out maps (≥100× imbalance excluded)</x:v>
      </x:c>
      <x:c r="G2" s="4" t="str">
        <x:v>Composition benchmark — 89 held-out maps (≥100× imbalance excluded)</x:v>
      </x:c>
      <x:c r="H2" s="4" t="str">
        <x:v>Composition benchmark — 89 held-out maps (≥100× imbalance excluded)</x:v>
      </x:c>
      <x:c r="I2" s="4" t="str">
        <x:v>Composition benchmark — 89 held-out maps (≥100× imbalance excluded)</x:v>
      </x:c>
      <x:c r="J2" s="4" t="str">
        <x:v>Composition benchmark — 89 held-out maps (≥100× imbalance excluded)</x:v>
      </x:c>
    </x:row>
    <x:row r="4">
      <x:c r="A4" s="15" t="str">
        <x:v>Method</x:v>
      </x:c>
      <x:c r="B4" s="16" t="str">
        <x:v>N maps</x:v>
      </x:c>
      <x:c r="C4" s="16" t="str">
        <x:v>Mean deviation (%p)</x:v>
      </x:c>
      <x:c r="D4" s="16" t="str">
        <x:v>SE (%p)</x:v>
      </x:c>
      <x:c r="E4" s="16" t="str">
        <x:v>Median deviation (%p)</x:v>
      </x:c>
      <x:c r="F4" s="16" t="str">
        <x:v>Accuracy ≤10%p</x:v>
      </x:c>
      <x:c r="G4" s="16" t="str">
        <x:v>Binary AUC</x:v>
      </x:c>
      <x:c r="H4" s="16" t="str">
        <x:v>DQ recovery (%)</x:v>
      </x:c>
      <x:c r="I4" s="16" t="str">
        <x:v>TBZ recovery (%)</x:v>
      </x:c>
      <x:c r="J4" s="17" t="str">
        <x:v>THI recovery (%)</x:v>
      </x:c>
    </x:row>
    <x:row r="5">
      <x:c r="A5" s="19" t="str">
        <x:v>NNLS</x:v>
      </x:c>
      <x:c r="B5" s="19" t="n">
        <x:v>89</x:v>
      </x:c>
      <x:c r="C5" s="22" t="n">
        <x:v>20.08713584637385</x:v>
      </x:c>
      <x:c r="D5" s="22" t="n">
        <x:v>1.6016709549510704</x:v>
      </x:c>
      <x:c r="E5" s="22" t="n">
        <x:v>16.73748948115347</x:v>
      </x:c>
      <x:c r="F5" s="25" t="n">
        <x:v>0.25842696629213485</x:v>
      </x:c>
      <x:c r="G5" s="25" t="n">
        <x:v>0.9132653061224488</x:v>
      </x:c>
      <x:c r="H5" s="28" t="n">
        <x:v>99.64421009140104</x:v>
      </x:c>
      <x:c r="I5" s="28" t="n">
        <x:v>120.58780582443663</x:v>
      </x:c>
      <x:c r="J5" s="28" t="n">
        <x:v>144.6282240016623</x:v>
      </x:c>
    </x:row>
    <x:row r="6">
      <x:c r="A6" s="20" t="str">
        <x:v>PLS</x:v>
      </x:c>
      <x:c r="B6" s="20" t="n">
        <x:v>89</x:v>
      </x:c>
      <x:c r="C6" s="23" t="n">
        <x:v>15.258812169039938</x:v>
      </x:c>
      <x:c r="D6" s="23" t="n">
        <x:v>1.0845013918610886</x:v>
      </x:c>
      <x:c r="E6" s="23" t="n">
        <x:v>13.748016834674187</x:v>
      </x:c>
      <x:c r="F6" s="26" t="n">
        <x:v>0.3707865168539326</x:v>
      </x:c>
      <x:c r="G6" s="26" t="n">
        <x:v>0.9297052154195011</x:v>
      </x:c>
      <x:c r="H6" s="29" t="n">
        <x:v>117.49980371460694</x:v>
      </x:c>
      <x:c r="I6" s="29" t="n">
        <x:v>122.79006853339762</x:v>
      </x:c>
      <x:c r="J6" s="29" t="n">
        <x:v>121.83506451193605</x:v>
      </x:c>
    </x:row>
    <x:row r="7">
      <x:c r="A7" s="20" t="str">
        <x:v>RF</x:v>
      </x:c>
      <x:c r="B7" s="20" t="n">
        <x:v>89</x:v>
      </x:c>
      <x:c r="C7" s="23" t="n">
        <x:v>17.06293023772811</x:v>
      </x:c>
      <x:c r="D7" s="23" t="n">
        <x:v>1.0702565304505733</x:v>
      </x:c>
      <x:c r="E7" s="23" t="n">
        <x:v>14.636058110289095</x:v>
      </x:c>
      <x:c r="F7" s="26" t="n">
        <x:v>0.2808988764044944</x:v>
      </x:c>
      <x:c r="G7" s="26" t="n">
        <x:v>0.9410430839002267</x:v>
      </x:c>
      <x:c r="H7" s="29" t="n">
        <x:v>128.56042685534132</x:v>
      </x:c>
      <x:c r="I7" s="29" t="n">
        <x:v>123.92193941147406</x:v>
      </x:c>
      <x:c r="J7" s="29" t="n">
        <x:v>125.52718801415112</x:v>
      </x:c>
    </x:row>
    <x:row r="8">
      <x:c r="A8" s="20" t="str">
        <x:v>1D-CNN</x:v>
      </x:c>
      <x:c r="B8" s="20" t="n">
        <x:v>89</x:v>
      </x:c>
      <x:c r="C8" s="23" t="n">
        <x:v>20.87114492643512</x:v>
      </x:c>
      <x:c r="D8" s="23" t="n">
        <x:v>1.452020910069198</x:v>
      </x:c>
      <x:c r="E8" s="23" t="n">
        <x:v>18.87839394621551</x:v>
      </x:c>
      <x:c r="F8" s="26" t="n">
        <x:v>0.1797752808988764</x:v>
      </x:c>
      <x:c r="G8" s="26" t="n">
        <x:v>0.81859410430839</x:v>
      </x:c>
      <x:c r="H8" s="29" t="n">
        <x:v>126.74914345955159</x:v>
      </x:c>
      <x:c r="I8" s="29" t="n">
        <x:v>112.28220943189675</x:v>
      </x:c>
      <x:c r="J8" s="29" t="n">
        <x:v>139.32566610675565</x:v>
      </x:c>
    </x:row>
    <x:row r="9">
      <x:c r="A9" s="31" t="str">
        <x:v>MLP</x:v>
      </x:c>
      <x:c r="B9" s="31" t="n">
        <x:v>89</x:v>
      </x:c>
      <x:c r="C9" s="32" t="n">
        <x:v>17.485205045430234</x:v>
      </x:c>
      <x:c r="D9" s="32" t="n">
        <x:v>1.2575932241328007</x:v>
      </x:c>
      <x:c r="E9" s="32" t="n">
        <x:v>13.733139385779698</x:v>
      </x:c>
      <x:c r="F9" s="33" t="n">
        <x:v>0.33707865168539325</x:v>
      </x:c>
      <x:c r="G9" s="33" t="n">
        <x:v>0.9058956916099773</x:v>
      </x:c>
      <x:c r="H9" s="34" t="n">
        <x:v>110.0224927769769</x:v>
      </x:c>
      <x:c r="I9" s="34" t="n">
        <x:v>117.92748504839304</x:v>
      </x:c>
      <x:c r="J9" s="34" t="n">
        <x:v>127.25230726553427</x:v>
      </x:c>
    </x:row>
  </x:sheetData>
  <x:mergeCells>
    <x:mergeCell ref="A1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380000114440918" hidden="0" customWidth="1"/>
    <x:col min="2" max="2" width="23.75" hidden="0" customWidth="1"/>
    <x:col min="3" max="3" width="6.880000114440918" hidden="0" customWidth="1"/>
    <x:col min="4" max="4" width="9.380000114440918" hidden="0" customWidth="1"/>
    <x:col min="5" max="5" width="8.75" hidden="0" customWidth="1"/>
    <x:col min="6" max="6" width="8.75" hidden="0" customWidth="1"/>
    <x:col min="7" max="7" width="8.75" hidden="0" customWidth="1"/>
    <x:col min="8" max="8" width="8.75" hidden="0" customWidth="1"/>
    <x:col min="9" max="9" width="8.75" hidden="0" customWidth="1"/>
    <x:col min="10" max="10" width="8.75" hidden="0" customWidth="1"/>
    <x:col min="11" max="11" width="11.880000114440918" hidden="0" customWidth="1"/>
    <x:col min="12" max="12" width="8.130000114440918" hidden="0" customWidth="1"/>
  </x:cols>
  <x:sheetData>
    <x:row r="1" ht="28" customHeight="1">
      <x:c r="A1" s="4" t="str">
        <x:v>Composition held-out predictions (map-level)</x:v>
      </x:c>
      <x:c r="B1" s="4" t="str">
        <x:v>Composition held-out predictions (map-level)</x:v>
      </x:c>
      <x:c r="C1" s="4" t="str">
        <x:v>Composition held-out predictions (map-level)</x:v>
      </x:c>
      <x:c r="D1" s="4" t="str">
        <x:v>Composition held-out predictions (map-level)</x:v>
      </x:c>
      <x:c r="E1" s="4" t="str">
        <x:v>Composition held-out predictions (map-level)</x:v>
      </x:c>
      <x:c r="F1" s="4" t="str">
        <x:v>Composition held-out predictions (map-level)</x:v>
      </x:c>
      <x:c r="G1" s="4" t="str">
        <x:v>Composition held-out predictions (map-level)</x:v>
      </x:c>
      <x:c r="H1" s="4" t="str">
        <x:v>Composition held-out predictions (map-level)</x:v>
      </x:c>
      <x:c r="I1" s="4" t="str">
        <x:v>Composition held-out predictions (map-level)</x:v>
      </x:c>
      <x:c r="J1" s="4" t="str">
        <x:v>Composition held-out predictions (map-level)</x:v>
      </x:c>
      <x:c r="K1" s="4" t="str">
        <x:v>Composition held-out predictions (map-level)</x:v>
      </x:c>
      <x:c r="L1" s="4" t="str">
        <x:v>Composition held-out predictions (map-level)</x:v>
      </x:c>
    </x:row>
    <x:row r="2" ht="28" customHeight="1">
      <x:c r="A2" s="4" t="str">
        <x:v>Composition held-out predictions (map-level)</x:v>
      </x:c>
      <x:c r="B2" s="4" t="str">
        <x:v>Composition held-out predictions (map-level)</x:v>
      </x:c>
      <x:c r="C2" s="4" t="str">
        <x:v>Composition held-out predictions (map-level)</x:v>
      </x:c>
      <x:c r="D2" s="4" t="str">
        <x:v>Composition held-out predictions (map-level)</x:v>
      </x:c>
      <x:c r="E2" s="4" t="str">
        <x:v>Composition held-out predictions (map-level)</x:v>
      </x:c>
      <x:c r="F2" s="4" t="str">
        <x:v>Composition held-out predictions (map-level)</x:v>
      </x:c>
      <x:c r="G2" s="4" t="str">
        <x:v>Composition held-out predictions (map-level)</x:v>
      </x:c>
      <x:c r="H2" s="4" t="str">
        <x:v>Composition held-out predictions (map-level)</x:v>
      </x:c>
      <x:c r="I2" s="4" t="str">
        <x:v>Composition held-out predictions (map-level)</x:v>
      </x:c>
      <x:c r="J2" s="4" t="str">
        <x:v>Composition held-out predictions (map-level)</x:v>
      </x:c>
      <x:c r="K2" s="4" t="str">
        <x:v>Composition held-out predictions (map-level)</x:v>
      </x:c>
      <x:c r="L2" s="4" t="str">
        <x:v>Composition held-out predictions (map-level)</x:v>
      </x:c>
    </x:row>
    <x:row r="4">
      <x:c r="A4" s="15" t="str">
        <x:v>Method</x:v>
      </x:c>
      <x:c r="B4" s="16" t="str">
        <x:v>Map</x:v>
      </x:c>
      <x:c r="C4" s="16" t="str">
        <x:v>Fold</x:v>
      </x:c>
      <x:c r="D4" s="16" t="str">
        <x:v>Sample type</x:v>
      </x:c>
      <x:c r="E4" s="16" t="str">
        <x:v>True DQ</x:v>
      </x:c>
      <x:c r="F4" s="16" t="str">
        <x:v>True TBZ</x:v>
      </x:c>
      <x:c r="G4" s="16" t="str">
        <x:v>True THI</x:v>
      </x:c>
      <x:c r="H4" s="16" t="str">
        <x:v>Pred DQ</x:v>
      </x:c>
      <x:c r="I4" s="16" t="str">
        <x:v>Pred TBZ</x:v>
      </x:c>
      <x:c r="J4" s="16" t="str">
        <x:v>Pred THI</x:v>
      </x:c>
      <x:c r="K4" s="16" t="str">
        <x:v>Deviation (%p)</x:v>
      </x:c>
      <x:c r="L4" s="17" t="str">
        <x:v>N pixels</x:v>
      </x:c>
    </x:row>
    <x:row r="5">
      <x:c r="A5" s="19" t="str">
        <x:v>nnls</x:v>
      </x:c>
      <x:c r="B5" s="19" t="str">
        <x:v>DQ0-TB50-TH250.csv</x:v>
      </x:c>
      <x:c r="C5" s="19" t="n">
        <x:v>1</x:v>
      </x:c>
      <x:c r="D5" s="19" t="str">
        <x:v>binary</x:v>
      </x:c>
      <x:c r="E5" s="35" t="n">
        <x:v>0</x:v>
      </x:c>
      <x:c r="F5" s="35" t="n">
        <x:v>0.1666666716337204</x:v>
      </x:c>
      <x:c r="G5" s="35" t="n">
        <x:v>0.8333333134651184</x:v>
      </x:c>
      <x:c r="H5" s="35" t="n">
        <x:v>0</x:v>
      </x:c>
      <x:c r="I5" s="35" t="n">
        <x:v>0</x:v>
      </x:c>
      <x:c r="J5" s="35" t="n">
        <x:v>0.9999999999989994</x:v>
      </x:c>
      <x:c r="K5" s="22" t="n">
        <x:f>0.5*(ABS(H5-E5)+ABS(I5-F5)+ABS(J5-G5))*100</x:f>
        <x:v>16.666667908380067</x:v>
      </x:c>
      <x:c r="L5" s="19" t="n">
        <x:v>24</x:v>
      </x:c>
    </x:row>
    <x:row r="6">
      <x:c r="A6" s="20" t="str">
        <x:v>nnls</x:v>
      </x:c>
      <x:c r="B6" s="20" t="str">
        <x:v>DQ0-TB50-TH500.csv</x:v>
      </x:c>
      <x:c r="C6" s="20" t="n">
        <x:v>1</x:v>
      </x:c>
      <x:c r="D6" s="20" t="str">
        <x:v>binary</x:v>
      </x:c>
      <x:c r="E6" s="36" t="n">
        <x:v>0</x:v>
      </x:c>
      <x:c r="F6" s="36" t="n">
        <x:v>0.09090909361839294</x:v>
      </x:c>
      <x:c r="G6" s="36" t="n">
        <x:v>0.9090909361839294</x:v>
      </x:c>
      <x:c r="H6" s="36" t="n">
        <x:v>0.03068254039178475</x:v>
      </x:c>
      <x:c r="I6" s="36" t="n">
        <x:v>0.005467619780268068</x:v>
      </x:c>
      <x:c r="J6" s="36" t="n">
        <x:v>0.9638498398269472</x:v>
      </x:c>
      <x:c r="K6" s="23" t="n">
        <x:f>0.5*(ABS(H6-E6)+ABS(I6-F6)+ABS(J6-G6))*100</x:f>
        <x:v>8.544145893646368</x:v>
      </x:c>
      <x:c r="L6" s="20" t="n">
        <x:v>24</x:v>
      </x:c>
    </x:row>
    <x:row r="7">
      <x:c r="A7" s="20" t="str">
        <x:v>nnls</x:v>
      </x:c>
      <x:c r="B7" s="20" t="str">
        <x:v>DQ0-TB500-TH500.csv</x:v>
      </x:c>
      <x:c r="C7" s="20" t="n">
        <x:v>1</x:v>
      </x:c>
      <x:c r="D7" s="20" t="str">
        <x:v>binary</x:v>
      </x:c>
      <x:c r="E7" s="36" t="n">
        <x:v>0</x:v>
      </x:c>
      <x:c r="F7" s="36" t="n">
        <x:v>0.5</x:v>
      </x:c>
      <x:c r="G7" s="36" t="n">
        <x:v>0.5</x:v>
      </x:c>
      <x:c r="H7" s="36" t="n">
        <x:v>0.0418881790655411</x:v>
      </x:c>
      <x:c r="I7" s="36" t="n">
        <x:v>0.1695679482999705</x:v>
      </x:c>
      <x:c r="J7" s="36" t="n">
        <x:v>0.7885438726334884</x:v>
      </x:c>
      <x:c r="K7" s="23" t="n">
        <x:f>0.5*(ABS(H7-E7)+ABS(I7-F7)+ABS(J7-G7))*100</x:f>
        <x:v>33.04320516995295</x:v>
      </x:c>
      <x:c r="L7" s="20" t="n">
        <x:v>24</x:v>
      </x:c>
    </x:row>
    <x:row r="8">
      <x:c r="A8" s="20" t="str">
        <x:v>nnls</x:v>
      </x:c>
      <x:c r="B8" s="20" t="str">
        <x:v>DQ12-TB12-TH12.csv</x:v>
      </x:c>
      <x:c r="C8" s="20" t="n">
        <x:v>1</x:v>
      </x:c>
      <x:c r="D8" s="20" t="str">
        <x:v>ternary</x:v>
      </x:c>
      <x:c r="E8" s="36" t="n">
        <x:v>0.3333333432674408</x:v>
      </x:c>
      <x:c r="F8" s="36" t="n">
        <x:v>0.3333333432674408</x:v>
      </x:c>
      <x:c r="G8" s="36" t="n">
        <x:v>0.3333333432674408</x:v>
      </x:c>
      <x:c r="H8" s="36" t="n">
        <x:v>0.16876954519489742</x:v>
      </x:c>
      <x:c r="I8" s="36" t="n">
        <x:v>0.405997009181704</x:v>
      </x:c>
      <x:c r="J8" s="36" t="n">
        <x:v>0.4252334456223985</x:v>
      </x:c>
      <x:c r="K8" s="23" t="n">
        <x:f>0.5*(ABS(H8-E8)+ABS(I8-F8)+ABS(J8-G8))*100</x:f>
        <x:v>16.456378317088216</x:v>
      </x:c>
      <x:c r="L8" s="20" t="n">
        <x:v>24</x:v>
      </x:c>
    </x:row>
    <x:row r="9">
      <x:c r="A9" s="20" t="str">
        <x:v>nnls</x:v>
      </x:c>
      <x:c r="B9" s="20" t="str">
        <x:v>DQ12-TB3-TH24.csv</x:v>
      </x:c>
      <x:c r="C9" s="20" t="n">
        <x:v>1</x:v>
      </x:c>
      <x:c r="D9" s="20" t="str">
        <x:v>ternary</x:v>
      </x:c>
      <x:c r="E9" s="36" t="n">
        <x:v>0.3076923191547394</x:v>
      </x:c>
      <x:c r="F9" s="36" t="n">
        <x:v>0.07692307978868484</x:v>
      </x:c>
      <x:c r="G9" s="36" t="n">
        <x:v>0.6153846383094788</x:v>
      </x:c>
      <x:c r="H9" s="36" t="n">
        <x:v>0.21338616633788535</x:v>
      </x:c>
      <x:c r="I9" s="36" t="n">
        <x:v>0.1884388034728722</x:v>
      </x:c>
      <x:c r="J9" s="36" t="n">
        <x:v>0.5981750301882426</x:v>
      </x:c>
      <x:c r="K9" s="23" t="n">
        <x:f>0.5*(ABS(H9-E9)+ABS(I9-F9)+ABS(J9-G9))*100</x:f>
        <x:v>11.151574231113878</x:v>
      </x:c>
      <x:c r="L9" s="20" t="n">
        <x:v>24</x:v>
      </x:c>
    </x:row>
    <x:row r="10">
      <x:c r="A10" s="20" t="str">
        <x:v>nnls</x:v>
      </x:c>
      <x:c r="B10" s="20" t="str">
        <x:v>DQ150-TB50-TH0.csv</x:v>
      </x:c>
      <x:c r="C10" s="20" t="n">
        <x:v>1</x:v>
      </x:c>
      <x:c r="D10" s="20" t="str">
        <x:v>binary</x:v>
      </x:c>
      <x:c r="E10" s="36" t="n">
        <x:v>0.75</x:v>
      </x:c>
      <x:c r="F10" s="36" t="n">
        <x:v>0.25</x:v>
      </x:c>
      <x:c r="G10" s="36" t="n">
        <x:v>0</x:v>
      </x:c>
      <x:c r="H10" s="36" t="n">
        <x:v>0.7462456430392961</x:v>
      </x:c>
      <x:c r="I10" s="36" t="n">
        <x:v>0.1840465430161827</x:v>
      </x:c>
      <x:c r="J10" s="36" t="n">
        <x:v>0.06970781394352117</x:v>
      </x:c>
      <x:c r="K10" s="23" t="n">
        <x:f>0.5*(ABS(H10-E10)+ABS(I10-F10)+ABS(J10-G10))*100</x:f>
        <x:v>6.97078139440212</x:v>
      </x:c>
      <x:c r="L10" s="20" t="n">
        <x:v>24</x:v>
      </x:c>
    </x:row>
    <x:row r="11">
      <x:c r="A11" s="20" t="str">
        <x:v>nnls</x:v>
      </x:c>
      <x:c r="B11" s="20" t="str">
        <x:v>DQ24-TB24-TH24.csv</x:v>
      </x:c>
      <x:c r="C11" s="20" t="n">
        <x:v>1</x:v>
      </x:c>
      <x:c r="D11" s="20" t="str">
        <x:v>ternary</x:v>
      </x:c>
      <x:c r="E11" s="36" t="n">
        <x:v>0.3333333432674408</x:v>
      </x:c>
      <x:c r="F11" s="36" t="n">
        <x:v>0.3333333432674408</x:v>
      </x:c>
      <x:c r="G11" s="36" t="n">
        <x:v>0.3333333432674408</x:v>
      </x:c>
      <x:c r="H11" s="36" t="n">
        <x:v>0.12520007939693803</x:v>
      </x:c>
      <x:c r="I11" s="36" t="n">
        <x:v>0.37448896888305555</x:v>
      </x:c>
      <x:c r="J11" s="36" t="n">
        <x:v>0.5003109517190064</x:v>
      </x:c>
      <x:c r="K11" s="23" t="n">
        <x:f>0.5*(ABS(H11-E11)+ABS(I11-F11)+ABS(J11-G11))*100</x:f>
        <x:v>20.813324896884154</x:v>
      </x:c>
      <x:c r="L11" s="20" t="n">
        <x:v>24</x:v>
      </x:c>
    </x:row>
    <x:row r="12">
      <x:c r="A12" s="20" t="str">
        <x:v>nnls</x:v>
      </x:c>
      <x:c r="B12" s="20" t="str">
        <x:v>DQ250-TB0-TH50.csv</x:v>
      </x:c>
      <x:c r="C12" s="20" t="n">
        <x:v>1</x:v>
      </x:c>
      <x:c r="D12" s="20" t="str">
        <x:v>binary</x:v>
      </x:c>
      <x:c r="E12" s="36" t="n">
        <x:v>0.8333333134651184</x:v>
      </x:c>
      <x:c r="F12" s="36" t="n">
        <x:v>0</x:v>
      </x:c>
      <x:c r="G12" s="36" t="n">
        <x:v>0.1666666716337204</x:v>
      </x:c>
      <x:c r="H12" s="36" t="n">
        <x:v>0.08395059922198413</x:v>
      </x:c>
      <x:c r="I12" s="36" t="n">
        <x:v>0.0034094766465473155</x:v>
      </x:c>
      <x:c r="J12" s="36" t="n">
        <x:v>0.9126399241304686</x:v>
      </x:c>
      <x:c r="K12" s="23" t="n">
        <x:f>0.5*(ABS(H12-E12)+ABS(I12-F12)+ABS(J12-G12))*100</x:f>
        <x:v>74.9382721693215</x:v>
      </x:c>
      <x:c r="L12" s="20" t="n">
        <x:v>24</x:v>
      </x:c>
    </x:row>
    <x:row r="13">
      <x:c r="A13" s="20" t="str">
        <x:v>nnls</x:v>
      </x:c>
      <x:c r="B13" s="20" t="str">
        <x:v>DQ3-TB12-TH12.csv</x:v>
      </x:c>
      <x:c r="C13" s="20" t="n">
        <x:v>1</x:v>
      </x:c>
      <x:c r="D13" s="20" t="str">
        <x:v>ternary</x:v>
      </x:c>
      <x:c r="E13" s="36" t="n">
        <x:v>0.1111111119389534</x:v>
      </x:c>
      <x:c r="F13" s="36" t="n">
        <x:v>0.4444444477558136</x:v>
      </x:c>
      <x:c r="G13" s="36" t="n">
        <x:v>0.4444444477558136</x:v>
      </x:c>
      <x:c r="H13" s="36" t="n">
        <x:v>0.2630065644113841</x:v>
      </x:c>
      <x:c r="I13" s="36" t="n">
        <x:v>0.2689363394496345</x:v>
      </x:c>
      <x:c r="J13" s="36" t="n">
        <x:v>0.46805709613798124</x:v>
      </x:c>
      <x:c r="K13" s="23" t="n">
        <x:f>0.5*(ABS(H13-E13)+ABS(I13-F13)+ABS(J13-G13))*100</x:f>
        <x:v>17.55081045803887</x:v>
      </x:c>
      <x:c r="L13" s="20" t="n">
        <x:v>24</x:v>
      </x:c>
    </x:row>
    <x:row r="14">
      <x:c r="A14" s="20" t="str">
        <x:v>nnls</x:v>
      </x:c>
      <x:c r="B14" s="20" t="str">
        <x:v>DQ3-TB12-TH3.csv</x:v>
      </x:c>
      <x:c r="C14" s="20" t="n">
        <x:v>1</x:v>
      </x:c>
      <x:c r="D14" s="20" t="str">
        <x:v>ternary</x:v>
      </x:c>
      <x:c r="E14" s="36" t="n">
        <x:v>0.1666666716337204</x:v>
      </x:c>
      <x:c r="F14" s="36" t="n">
        <x:v>0.6666666865348816</x:v>
      </x:c>
      <x:c r="G14" s="36" t="n">
        <x:v>0.1666666716337204</x:v>
      </x:c>
      <x:c r="H14" s="36" t="n">
        <x:v>0.3258854004292467</x:v>
      </x:c>
      <x:c r="I14" s="36" t="n">
        <x:v>0.4794584726279201</x:v>
      </x:c>
      <x:c r="J14" s="36" t="n">
        <x:v>0.1946561269418331</x:v>
      </x:c>
      <x:c r="K14" s="23" t="n">
        <x:f>0.5*(ABS(H14-E14)+ABS(I14-F14)+ABS(J14-G14))*100</x:f>
        <x:v>18.720819900530024</x:v>
      </x:c>
      <x:c r="L14" s="20" t="n">
        <x:v>24</x:v>
      </x:c>
    </x:row>
    <x:row r="15">
      <x:c r="A15" s="20" t="str">
        <x:v>nnls</x:v>
      </x:c>
      <x:c r="B15" s="20" t="str">
        <x:v>DQ3-TB3-TH3.csv</x:v>
      </x:c>
      <x:c r="C15" s="20" t="n">
        <x:v>1</x:v>
      </x:c>
      <x:c r="D15" s="20" t="str">
        <x:v>ternary</x:v>
      </x:c>
      <x:c r="E15" s="36" t="n">
        <x:v>0.3333333432674408</x:v>
      </x:c>
      <x:c r="F15" s="36" t="n">
        <x:v>0.3333333432674408</x:v>
      </x:c>
      <x:c r="G15" s="36" t="n">
        <x:v>0.3333333432674408</x:v>
      </x:c>
      <x:c r="H15" s="36" t="n">
        <x:v>0.4507044479539075</x:v>
      </x:c>
      <x:c r="I15" s="36" t="n">
        <x:v>0.384345199073999</x:v>
      </x:c>
      <x:c r="J15" s="36" t="n">
        <x:v>0.16495035297109326</x:v>
      </x:c>
      <x:c r="K15" s="23" t="n">
        <x:f>0.5*(ABS(H15-E15)+ABS(I15-F15)+ABS(J15-G15))*100</x:f>
        <x:v>16.838297539468623</x:v>
      </x:c>
      <x:c r="L15" s="20" t="n">
        <x:v>24</x:v>
      </x:c>
    </x:row>
    <x:row r="16">
      <x:c r="A16" s="20" t="str">
        <x:v>nnls</x:v>
      </x:c>
      <x:c r="B16" s="20" t="str">
        <x:v>DQ333-TB333-TH333.csv</x:v>
      </x:c>
      <x:c r="C16" s="20" t="n">
        <x:v>1</x:v>
      </x:c>
      <x:c r="D16" s="20" t="str">
        <x:v>ternary</x:v>
      </x:c>
      <x:c r="E16" s="36" t="n">
        <x:v>0.3333333432674408</x:v>
      </x:c>
      <x:c r="F16" s="36" t="n">
        <x:v>0.3333333432674408</x:v>
      </x:c>
      <x:c r="G16" s="36" t="n">
        <x:v>0.3333333432674408</x:v>
      </x:c>
      <x:c r="H16" s="36" t="n">
        <x:v>0.018216741855700238</x:v>
      </x:c>
      <x:c r="I16" s="36" t="n">
        <x:v>0.035528723182593654</x:v>
      </x:c>
      <x:c r="J16" s="36" t="n">
        <x:v>0.946254534960706</x:v>
      </x:c>
      <x:c r="K16" s="23" t="n">
        <x:f>0.5*(ABS(H16-E16)+ABS(I16-F16)+ABS(J16-G16))*100</x:f>
        <x:v>61.29212065949265</x:v>
      </x:c>
      <x:c r="L16" s="20" t="n">
        <x:v>24</x:v>
      </x:c>
    </x:row>
    <x:row r="17">
      <x:c r="A17" s="20" t="str">
        <x:v>nnls</x:v>
      </x:c>
      <x:c r="B17" s="20" t="str">
        <x:v>DQ50-TB0-TH250.csv</x:v>
      </x:c>
      <x:c r="C17" s="20" t="n">
        <x:v>1</x:v>
      </x:c>
      <x:c r="D17" s="20" t="str">
        <x:v>binary</x:v>
      </x:c>
      <x:c r="E17" s="36" t="n">
        <x:v>0.1666666716337204</x:v>
      </x:c>
      <x:c r="F17" s="36" t="n">
        <x:v>0</x:v>
      </x:c>
      <x:c r="G17" s="36" t="n">
        <x:v>0.8333333134651184</x:v>
      </x:c>
      <x:c r="H17" s="36" t="n">
        <x:v>0.0019376715636290542</x:v>
      </x:c>
      <x:c r="I17" s="36" t="n">
        <x:v>0</x:v>
      </x:c>
      <x:c r="J17" s="36" t="n">
        <x:v>0.9980623284353705</x:v>
      </x:c>
      <x:c r="K17" s="23" t="n">
        <x:f>0.5*(ABS(H17-E17)+ABS(I17-F17)+ABS(J17-G17))*100</x:f>
        <x:v>16.472900752017168</x:v>
      </x:c>
      <x:c r="L17" s="20" t="n">
        <x:v>24</x:v>
      </x:c>
    </x:row>
    <x:row r="18">
      <x:c r="A18" s="20" t="str">
        <x:v>nnls</x:v>
      </x:c>
      <x:c r="B18" s="20" t="str">
        <x:v>DQ500-TB50-TH0.csv</x:v>
      </x:c>
      <x:c r="C18" s="20" t="n">
        <x:v>1</x:v>
      </x:c>
      <x:c r="D18" s="20" t="str">
        <x:v>binary</x:v>
      </x:c>
      <x:c r="E18" s="36" t="n">
        <x:v>0.9090909361839294</x:v>
      </x:c>
      <x:c r="F18" s="36" t="n">
        <x:v>0.09090909361839294</x:v>
      </x:c>
      <x:c r="G18" s="36" t="n">
        <x:v>0</x:v>
      </x:c>
      <x:c r="H18" s="36" t="n">
        <x:v>0.24890165246405097</x:v>
      </x:c>
      <x:c r="I18" s="36" t="n">
        <x:v>0.7225552003420166</x:v>
      </x:c>
      <x:c r="J18" s="36" t="n">
        <x:v>0.02854314719293241</x:v>
      </x:c>
      <x:c r="K18" s="23" t="n">
        <x:f>0.5*(ABS(H18-E18)+ABS(I18-F18)+ABS(J18-G18))*100</x:f>
        <x:v>66.01892688182174</x:v>
      </x:c>
      <x:c r="L18" s="20" t="n">
        <x:v>24</x:v>
      </x:c>
    </x:row>
    <x:row r="19">
      <x:c r="A19" s="20" t="str">
        <x:v>nnls</x:v>
      </x:c>
      <x:c r="B19" s="20" t="str">
        <x:v>DQ6-TB24-TH24.csv</x:v>
      </x:c>
      <x:c r="C19" s="20" t="n">
        <x:v>1</x:v>
      </x:c>
      <x:c r="D19" s="20" t="str">
        <x:v>ternary</x:v>
      </x:c>
      <x:c r="E19" s="36" t="n">
        <x:v>0.1111111119389534</x:v>
      </x:c>
      <x:c r="F19" s="36" t="n">
        <x:v>0.4444444477558136</x:v>
      </x:c>
      <x:c r="G19" s="36" t="n">
        <x:v>0.4444444477558136</x:v>
      </x:c>
      <x:c r="H19" s="36" t="n">
        <x:v>0.33623290172837444</x:v>
      </x:c>
      <x:c r="I19" s="36" t="n">
        <x:v>0.37290863228162047</x:v>
      </x:c>
      <x:c r="J19" s="36" t="n">
        <x:v>0.290858465989005</x:v>
      </x:c>
      <x:c r="K19" s="23" t="n">
        <x:f>0.5*(ABS(H19-E19)+ABS(I19-F19)+ABS(J19-G19))*100</x:f>
        <x:v>22.512179351521137</x:v>
      </x:c>
      <x:c r="L19" s="20" t="n">
        <x:v>24</x:v>
      </x:c>
    </x:row>
    <x:row r="20">
      <x:c r="A20" s="20" t="str">
        <x:v>nnls</x:v>
      </x:c>
      <x:c r="B20" s="20" t="str">
        <x:v>DQ6-TB24-TH6.csv</x:v>
      </x:c>
      <x:c r="C20" s="20" t="n">
        <x:v>1</x:v>
      </x:c>
      <x:c r="D20" s="20" t="str">
        <x:v>ternary</x:v>
      </x:c>
      <x:c r="E20" s="36" t="n">
        <x:v>0.1666666716337204</x:v>
      </x:c>
      <x:c r="F20" s="36" t="n">
        <x:v>0.6666666865348816</x:v>
      </x:c>
      <x:c r="G20" s="36" t="n">
        <x:v>0.1666666716337204</x:v>
      </x:c>
      <x:c r="H20" s="36" t="n">
        <x:v>0.2543007083857756</x:v>
      </x:c>
      <x:c r="I20" s="36" t="n">
        <x:v>0.5370287276731737</x:v>
      </x:c>
      <x:c r="J20" s="36" t="n">
        <x:v>0.20867056394005065</x:v>
      </x:c>
      <x:c r="K20" s="23" t="n">
        <x:f>0.5*(ABS(H20-E20)+ABS(I20-F20)+ABS(J20-G20))*100</x:f>
        <x:v>12.963794396004669</x:v>
      </x:c>
      <x:c r="L20" s="20" t="n">
        <x:v>24</x:v>
      </x:c>
    </x:row>
    <x:row r="21">
      <x:c r="A21" s="20" t="str">
        <x:v>nnls</x:v>
      </x:c>
      <x:c r="B21" s="20" t="str">
        <x:v>DQ6-TB3-TH24.csv</x:v>
      </x:c>
      <x:c r="C21" s="20" t="n">
        <x:v>1</x:v>
      </x:c>
      <x:c r="D21" s="20" t="str">
        <x:v>ternary</x:v>
      </x:c>
      <x:c r="E21" s="36" t="n">
        <x:v>0.1818181872367859</x:v>
      </x:c>
      <x:c r="F21" s="36" t="n">
        <x:v>0.09090909361839294</x:v>
      </x:c>
      <x:c r="G21" s="36" t="n">
        <x:v>0.7272727489471436</x:v>
      </x:c>
      <x:c r="H21" s="36" t="n">
        <x:v>0.31861842010746216</x:v>
      </x:c>
      <x:c r="I21" s="36" t="n">
        <x:v>0.16993565699804325</x:v>
      </x:c>
      <x:c r="J21" s="36" t="n">
        <x:v>0.5114459228934944</x:v>
      </x:c>
      <x:c r="K21" s="23" t="n">
        <x:f>0.5*(ABS(H21-E21)+ABS(I21-F21)+ABS(J21-G21))*100</x:f>
        <x:v>21.582681115198785</x:v>
      </x:c>
      <x:c r="L21" s="20" t="n">
        <x:v>24</x:v>
      </x:c>
    </x:row>
    <x:row r="22">
      <x:c r="A22" s="20" t="str">
        <x:v>nnls</x:v>
      </x:c>
      <x:c r="B22" s="20" t="str">
        <x:v>DQ6-TB6-TH6.csv</x:v>
      </x:c>
      <x:c r="C22" s="20" t="n">
        <x:v>1</x:v>
      </x:c>
      <x:c r="D22" s="20" t="str">
        <x:v>ternary</x:v>
      </x:c>
      <x:c r="E22" s="36" t="n">
        <x:v>0.3333333432674408</x:v>
      </x:c>
      <x:c r="F22" s="36" t="n">
        <x:v>0.3333333432674408</x:v>
      </x:c>
      <x:c r="G22" s="36" t="n">
        <x:v>0.3333333432674408</x:v>
      </x:c>
      <x:c r="H22" s="36" t="n">
        <x:v>0.37520734985723053</x:v>
      </x:c>
      <x:c r="I22" s="36" t="n">
        <x:v>0.4579858294038426</x:v>
      </x:c>
      <x:c r="J22" s="36" t="n">
        <x:v>0.16680682073792688</x:v>
      </x:c>
      <x:c r="K22" s="23" t="n">
        <x:f>0.5*(ABS(H22-E22)+ABS(I22-F22)+ABS(J22-G22))*100</x:f>
        <x:v>16.65265076278527</x:v>
      </x:c>
      <x:c r="L22" s="20" t="n">
        <x:v>24</x:v>
      </x:c>
    </x:row>
    <x:row r="23">
      <x:c r="A23" s="20" t="str">
        <x:v>nnls</x:v>
      </x:c>
      <x:c r="B23" s="20" t="str">
        <x:v>DQ0-TB250-TH50.csv</x:v>
      </x:c>
      <x:c r="C23" s="20" t="n">
        <x:v>2</x:v>
      </x:c>
      <x:c r="D23" s="20" t="str">
        <x:v>binary</x:v>
      </x:c>
      <x:c r="E23" s="36" t="n">
        <x:v>0</x:v>
      </x:c>
      <x:c r="F23" s="36" t="n">
        <x:v>0.8333333134651184</x:v>
      </x:c>
      <x:c r="G23" s="36" t="n">
        <x:v>0.1666666716337204</x:v>
      </x:c>
      <x:c r="H23" s="36" t="n">
        <x:v>0</x:v>
      </x:c>
      <x:c r="I23" s="36" t="n">
        <x:v>0.23576826798522374</x:v>
      </x:c>
      <x:c r="J23" s="36" t="n">
        <x:v>0.7642317320137763</x:v>
      </x:c>
      <x:c r="K23" s="23" t="n">
        <x:f>0.5*(ABS(H23-E23)+ABS(I23-F23)+ABS(J23-G23))*100</x:f>
        <x:v>59.75650529299752</x:v>
      </x:c>
      <x:c r="L23" s="20" t="n">
        <x:v>24</x:v>
      </x:c>
    </x:row>
    <x:row r="24">
      <x:c r="A24" s="20" t="str">
        <x:v>nnls</x:v>
      </x:c>
      <x:c r="B24" s="20" t="str">
        <x:v>DQ0-TB500-TH50.csv</x:v>
      </x:c>
      <x:c r="C24" s="20" t="n">
        <x:v>2</x:v>
      </x:c>
      <x:c r="D24" s="20" t="str">
        <x:v>binary</x:v>
      </x:c>
      <x:c r="E24" s="36" t="n">
        <x:v>0</x:v>
      </x:c>
      <x:c r="F24" s="36" t="n">
        <x:v>0.9090909361839294</x:v>
      </x:c>
      <x:c r="G24" s="36" t="n">
        <x:v>0.09090909361839294</x:v>
      </x:c>
      <x:c r="H24" s="36" t="n">
        <x:v>0.014288434515296608</x:v>
      </x:c>
      <x:c r="I24" s="36" t="n">
        <x:v>0.8206234253464393</x:v>
      </x:c>
      <x:c r="J24" s="36" t="n">
        <x:v>0.16508814013726406</x:v>
      </x:c>
      <x:c r="K24" s="23" t="n">
        <x:f>0.5*(ABS(H24-E24)+ABS(I24-F24)+ABS(J24-G24))*100</x:f>
        <x:v>8.846749593582896</x:v>
      </x:c>
      <x:c r="L24" s="20" t="n">
        <x:v>24</x:v>
      </x:c>
    </x:row>
    <x:row r="25">
      <x:c r="A25" s="20" t="str">
        <x:v>nnls</x:v>
      </x:c>
      <x:c r="B25" s="20" t="str">
        <x:v>DQ12-TB12-TH24.csv</x:v>
      </x:c>
      <x:c r="C25" s="20" t="n">
        <x:v>2</x:v>
      </x:c>
      <x:c r="D25" s="20" t="str">
        <x:v>ternary</x:v>
      </x:c>
      <x:c r="E25" s="36" t="n">
        <x:v>0.25</x:v>
      </x:c>
      <x:c r="F25" s="36" t="n">
        <x:v>0.25</x:v>
      </x:c>
      <x:c r="G25" s="36" t="n">
        <x:v>0.5</x:v>
      </x:c>
      <x:c r="H25" s="36" t="n">
        <x:v>0.1861285583854041</x:v>
      </x:c>
      <x:c r="I25" s="36" t="n">
        <x:v>0.24004204832353238</x:v>
      </x:c>
      <x:c r="J25" s="36" t="n">
        <x:v>0.5738293932900635</x:v>
      </x:c>
      <x:c r="K25" s="23" t="n">
        <x:f>0.5*(ABS(H25-E25)+ABS(I25-F25)+ABS(J25-G25))*100</x:f>
        <x:v>7.382939329056354</x:v>
      </x:c>
      <x:c r="L25" s="20" t="n">
        <x:v>24</x:v>
      </x:c>
    </x:row>
    <x:row r="26">
      <x:c r="A26" s="20" t="str">
        <x:v>nnls</x:v>
      </x:c>
      <x:c r="B26" s="20" t="str">
        <x:v>DQ12-TB24-TH6.csv</x:v>
      </x:c>
      <x:c r="C26" s="20" t="n">
        <x:v>2</x:v>
      </x:c>
      <x:c r="D26" s="20" t="str">
        <x:v>ternary</x:v>
      </x:c>
      <x:c r="E26" s="36" t="n">
        <x:v>0.2857142984867096</x:v>
      </x:c>
      <x:c r="F26" s="36" t="n">
        <x:v>0.5714285969734192</x:v>
      </x:c>
      <x:c r="G26" s="36" t="n">
        <x:v>0.1428571492433548</x:v>
      </x:c>
      <x:c r="H26" s="36" t="n">
        <x:v>0.18083874204440512</x:v>
      </x:c>
      <x:c r="I26" s="36" t="n">
        <x:v>0.7014528279034752</x:v>
      </x:c>
      <x:c r="J26" s="36" t="n">
        <x:v>0.11770843005111968</x:v>
      </x:c>
      <x:c r="K26" s="23" t="n">
        <x:f>0.5*(ABS(H26-E26)+ABS(I26-F26)+ABS(J26-G26))*100</x:f>
        <x:v>13.00242532822978</x:v>
      </x:c>
      <x:c r="L26" s="20" t="n">
        <x:v>24</x:v>
      </x:c>
    </x:row>
    <x:row r="27">
      <x:c r="A27" s="20" t="str">
        <x:v>nnls</x:v>
      </x:c>
      <x:c r="B27" s="20" t="str">
        <x:v>DQ12-TB3-TH3.csv</x:v>
      </x:c>
      <x:c r="C27" s="20" t="n">
        <x:v>2</x:v>
      </x:c>
      <x:c r="D27" s="20" t="str">
        <x:v>ternary</x:v>
      </x:c>
      <x:c r="E27" s="36" t="n">
        <x:v>0.6666666865348816</x:v>
      </x:c>
      <x:c r="F27" s="36" t="n">
        <x:v>0.1666666716337204</x:v>
      </x:c>
      <x:c r="G27" s="36" t="n">
        <x:v>0.1666666716337204</x:v>
      </x:c>
      <x:c r="H27" s="36" t="n">
        <x:v>0.33197373842935757</x:v>
      </x:c>
      <x:c r="I27" s="36" t="n">
        <x:v>0.5277545919673344</x:v>
      </x:c>
      <x:c r="J27" s="36" t="n">
        <x:v>0.14027166960230794</x:v>
      </x:c>
      <x:c r="K27" s="23" t="n">
        <x:f>0.5*(ABS(H27-E27)+ABS(I27-F27)+ABS(J27-G27))*100</x:f>
        <x:v>36.108793523527524</x:v>
      </x:c>
      <x:c r="L27" s="20" t="n">
        <x:v>24</x:v>
      </x:c>
    </x:row>
    <x:row r="28">
      <x:c r="A28" s="20" t="str">
        <x:v>nnls</x:v>
      </x:c>
      <x:c r="B28" s="20" t="str">
        <x:v>DQ12-TB6-TH6.csv</x:v>
      </x:c>
      <x:c r="C28" s="20" t="n">
        <x:v>2</x:v>
      </x:c>
      <x:c r="D28" s="20" t="str">
        <x:v>ternary</x:v>
      </x:c>
      <x:c r="E28" s="36" t="n">
        <x:v>0.5</x:v>
      </x:c>
      <x:c r="F28" s="36" t="n">
        <x:v>0.25</x:v>
      </x:c>
      <x:c r="G28" s="36" t="n">
        <x:v>0.25</x:v>
      </x:c>
      <x:c r="H28" s="36" t="n">
        <x:v>0.29653604675371487</x:v>
      </x:c>
      <x:c r="I28" s="36" t="n">
        <x:v>0.43830175451131975</x:v>
      </x:c>
      <x:c r="J28" s="36" t="n">
        <x:v>0.26516219873396535</x:v>
      </x:c>
      <x:c r="K28" s="23" t="n">
        <x:f>0.5*(ABS(H28-E28)+ABS(I28-F28)+ABS(J28-G28))*100</x:f>
        <x:v>20.346395324578513</x:v>
      </x:c>
      <x:c r="L28" s="20" t="n">
        <x:v>24</x:v>
      </x:c>
    </x:row>
    <x:row r="29">
      <x:c r="A29" s="20" t="str">
        <x:v>nnls</x:v>
      </x:c>
      <x:c r="B29" s="20" t="str">
        <x:v>DQ24-TB12-TH12.csv</x:v>
      </x:c>
      <x:c r="C29" s="20" t="n">
        <x:v>2</x:v>
      </x:c>
      <x:c r="D29" s="20" t="str">
        <x:v>ternary</x:v>
      </x:c>
      <x:c r="E29" s="36" t="n">
        <x:v>0.5</x:v>
      </x:c>
      <x:c r="F29" s="36" t="n">
        <x:v>0.25</x:v>
      </x:c>
      <x:c r="G29" s="36" t="n">
        <x:v>0.25</x:v>
      </x:c>
      <x:c r="H29" s="36" t="n">
        <x:v>0.35705001723765206</x:v>
      </x:c>
      <x:c r="I29" s="36" t="n">
        <x:v>0.15536670182909892</x:v>
      </x:c>
      <x:c r="J29" s="36" t="n">
        <x:v>0.48758328093224906</x:v>
      </x:c>
      <x:c r="K29" s="23" t="n">
        <x:f>0.5*(ABS(H29-E29)+ABS(I29-F29)+ABS(J29-G29))*100</x:f>
        <x:v>23.758328093274905</x:v>
      </x:c>
      <x:c r="L29" s="20" t="n">
        <x:v>24</x:v>
      </x:c>
    </x:row>
    <x:row r="30">
      <x:c r="A30" s="20" t="str">
        <x:v>nnls</x:v>
      </x:c>
      <x:c r="B30" s="20" t="str">
        <x:v>DQ24-TB12-TH3.csv</x:v>
      </x:c>
      <x:c r="C30" s="20" t="n">
        <x:v>2</x:v>
      </x:c>
      <x:c r="D30" s="20" t="str">
        <x:v>ternary</x:v>
      </x:c>
      <x:c r="E30" s="36" t="n">
        <x:v>0.6153846383094788</x:v>
      </x:c>
      <x:c r="F30" s="36" t="n">
        <x:v>0.3076923191547394</x:v>
      </x:c>
      <x:c r="G30" s="36" t="n">
        <x:v>0.07692307978868484</x:v>
      </x:c>
      <x:c r="H30" s="36" t="n">
        <x:v>0.5377357013019823</x:v>
      </x:c>
      <x:c r="I30" s="36" t="n">
        <x:v>0.34894826687755875</x:v>
      </x:c>
      <x:c r="J30" s="36" t="n">
        <x:v>0.11331603181945892</x:v>
      </x:c>
      <x:c r="K30" s="23" t="n">
        <x:f>0.5*(ABS(H30-E30)+ABS(I30-F30)+ABS(J30-G30))*100</x:f>
        <x:v>7.764891838054494</x:v>
      </x:c>
      <x:c r="L30" s="20" t="n">
        <x:v>24</x:v>
      </x:c>
    </x:row>
    <x:row r="31">
      <x:c r="A31" s="20" t="str">
        <x:v>nnls</x:v>
      </x:c>
      <x:c r="B31" s="20" t="str">
        <x:v>DQ24-TB6-TH6.csv</x:v>
      </x:c>
      <x:c r="C31" s="20" t="n">
        <x:v>2</x:v>
      </x:c>
      <x:c r="D31" s="20" t="str">
        <x:v>ternary</x:v>
      </x:c>
      <x:c r="E31" s="36" t="n">
        <x:v>0.6666666865348816</x:v>
      </x:c>
      <x:c r="F31" s="36" t="n">
        <x:v>0.1666666716337204</x:v>
      </x:c>
      <x:c r="G31" s="36" t="n">
        <x:v>0.1666666716337204</x:v>
      </x:c>
      <x:c r="H31" s="36" t="n">
        <x:v>0.3967015137584747</x:v>
      </x:c>
      <x:c r="I31" s="36" t="n">
        <x:v>0.2890082028018166</x:v>
      </x:c>
      <x:c r="J31" s="36" t="n">
        <x:v>0.3142902834387085</x:v>
      </x:c>
      <x:c r="K31" s="23" t="n">
        <x:f>0.5*(ABS(H31-E31)+ABS(I31-F31)+ABS(J31-G31))*100</x:f>
        <x:v>26.99651578747456</x:v>
      </x:c>
      <x:c r="L31" s="20" t="n">
        <x:v>24</x:v>
      </x:c>
    </x:row>
    <x:row r="32">
      <x:c r="A32" s="20" t="str">
        <x:v>nnls</x:v>
      </x:c>
      <x:c r="B32" s="20" t="str">
        <x:v>DQ3-TB24-TH3.csv</x:v>
      </x:c>
      <x:c r="C32" s="20" t="n">
        <x:v>2</x:v>
      </x:c>
      <x:c r="D32" s="20" t="str">
        <x:v>ternary</x:v>
      </x:c>
      <x:c r="E32" s="36" t="n">
        <x:v>0.10000000149011612</x:v>
      </x:c>
      <x:c r="F32" s="36" t="n">
        <x:v>0.800000011920929</x:v>
      </x:c>
      <x:c r="G32" s="36" t="n">
        <x:v>0.10000000149011612</x:v>
      </x:c>
      <x:c r="H32" s="36" t="n">
        <x:v>0.3073654291195313</x:v>
      </x:c>
      <x:c r="I32" s="36" t="n">
        <x:v>0.5664495086467667</x:v>
      </x:c>
      <x:c r="J32" s="36" t="n">
        <x:v>0.12618506223270212</x:v>
      </x:c>
      <x:c r="K32" s="23" t="n">
        <x:f>0.5*(ABS(H32-E32)+ABS(I32-F32)+ABS(J32-G32))*100</x:f>
        <x:v>23.355049582308173</x:v>
      </x:c>
      <x:c r="L32" s="20" t="n">
        <x:v>24</x:v>
      </x:c>
    </x:row>
    <x:row r="33">
      <x:c r="A33" s="20" t="str">
        <x:v>nnls</x:v>
      </x:c>
      <x:c r="B33" s="20" t="str">
        <x:v>DQ3-TB3-TH24.csv</x:v>
      </x:c>
      <x:c r="C33" s="20" t="n">
        <x:v>2</x:v>
      </x:c>
      <x:c r="D33" s="20" t="str">
        <x:v>ternary</x:v>
      </x:c>
      <x:c r="E33" s="36" t="n">
        <x:v>0.10000000149011612</x:v>
      </x:c>
      <x:c r="F33" s="36" t="n">
        <x:v>0.10000000149011612</x:v>
      </x:c>
      <x:c r="G33" s="36" t="n">
        <x:v>0.800000011920929</x:v>
      </x:c>
      <x:c r="H33" s="36" t="n">
        <x:v>0.07732252694801549</x:v>
      </x:c>
      <x:c r="I33" s="36" t="n">
        <x:v>0.09534416335567497</x:v>
      </x:c>
      <x:c r="J33" s="36" t="n">
        <x:v>0.8273333096953096</x:v>
      </x:c>
      <x:c r="K33" s="23" t="n">
        <x:f>0.5*(ABS(H33-E33)+ABS(I33-F33)+ABS(J33-G33))*100</x:f>
        <x:v>2.7333305225461215</x:v>
      </x:c>
      <x:c r="L33" s="20" t="n">
        <x:v>24</x:v>
      </x:c>
    </x:row>
    <x:row r="34">
      <x:c r="A34" s="20" t="str">
        <x:v>nnls</x:v>
      </x:c>
      <x:c r="B34" s="20" t="str">
        <x:v>DQ3-TB3-TH6.csv</x:v>
      </x:c>
      <x:c r="C34" s="20" t="n">
        <x:v>2</x:v>
      </x:c>
      <x:c r="D34" s="20" t="str">
        <x:v>ternary</x:v>
      </x:c>
      <x:c r="E34" s="36" t="n">
        <x:v>0.25</x:v>
      </x:c>
      <x:c r="F34" s="36" t="n">
        <x:v>0.25</x:v>
      </x:c>
      <x:c r="G34" s="36" t="n">
        <x:v>0.5</x:v>
      </x:c>
      <x:c r="H34" s="36" t="n">
        <x:v>0.36298407719800907</x:v>
      </x:c>
      <x:c r="I34" s="36" t="n">
        <x:v>0.28088253874703034</x:v>
      </x:c>
      <x:c r="J34" s="36" t="n">
        <x:v>0.35613338405396067</x:v>
      </x:c>
      <x:c r="K34" s="23" t="n">
        <x:f>0.5*(ABS(H34-E34)+ABS(I34-F34)+ABS(J34-G34))*100</x:f>
        <x:v>14.386661594553937</x:v>
      </x:c>
      <x:c r="L34" s="20" t="n">
        <x:v>24</x:v>
      </x:c>
    </x:row>
    <x:row r="35">
      <x:c r="A35" s="20" t="str">
        <x:v>nnls</x:v>
      </x:c>
      <x:c r="B35" s="20" t="str">
        <x:v>DQ333-TB333-TH33.csv</x:v>
      </x:c>
      <x:c r="C35" s="20" t="n">
        <x:v>2</x:v>
      </x:c>
      <x:c r="D35" s="20" t="str">
        <x:v>ternary</x:v>
      </x:c>
      <x:c r="E35" s="36" t="n">
        <x:v>0.4763948619365692</x:v>
      </x:c>
      <x:c r="F35" s="36" t="n">
        <x:v>0.4763948619365692</x:v>
      </x:c>
      <x:c r="G35" s="36" t="n">
        <x:v>0.04721030220389366</x:v>
      </x:c>
      <x:c r="H35" s="36" t="n">
        <x:v>0.49649530483258025</x:v>
      </x:c>
      <x:c r="I35" s="36" t="n">
        <x:v>0.15984462304293495</x:v>
      </x:c>
      <x:c r="J35" s="36" t="n">
        <x:v>0.3436600721234846</x:v>
      </x:c>
      <x:c r="K35" s="23" t="n">
        <x:f>0.5*(ABS(H35-E35)+ABS(I35-F35)+ABS(J35-G35))*100</x:f>
        <x:v>31.65502258546181</x:v>
      </x:c>
      <x:c r="L35" s="20" t="n">
        <x:v>24</x:v>
      </x:c>
    </x:row>
    <x:row r="36">
      <x:c r="A36" s="20" t="str">
        <x:v>nnls</x:v>
      </x:c>
      <x:c r="B36" s="20" t="str">
        <x:v>DQ50-TB150-TH0.csv</x:v>
      </x:c>
      <x:c r="C36" s="20" t="n">
        <x:v>2</x:v>
      </x:c>
      <x:c r="D36" s="20" t="str">
        <x:v>binary</x:v>
      </x:c>
      <x:c r="E36" s="36" t="n">
        <x:v>0.25</x:v>
      </x:c>
      <x:c r="F36" s="36" t="n">
        <x:v>0.75</x:v>
      </x:c>
      <x:c r="G36" s="36" t="n">
        <x:v>0</x:v>
      </x:c>
      <x:c r="H36" s="36" t="n">
        <x:v>0.4489635132045322</x:v>
      </x:c>
      <x:c r="I36" s="36" t="n">
        <x:v>0.4587999611680699</x:v>
      </x:c>
      <x:c r="J36" s="36" t="n">
        <x:v>0.09223652562639778</x:v>
      </x:c>
      <x:c r="K36" s="23" t="n">
        <x:f>0.5*(ABS(H36-E36)+ABS(I36-F36)+ABS(J36-G36))*100</x:f>
        <x:v>29.120003883143003</x:v>
      </x:c>
      <x:c r="L36" s="20" t="n">
        <x:v>24</x:v>
      </x:c>
    </x:row>
    <x:row r="37">
      <x:c r="A37" s="20" t="str">
        <x:v>nnls</x:v>
      </x:c>
      <x:c r="B37" s="20" t="str">
        <x:v>DQ500-TB0-TH500.csv</x:v>
      </x:c>
      <x:c r="C37" s="20" t="n">
        <x:v>2</x:v>
      </x:c>
      <x:c r="D37" s="20" t="str">
        <x:v>binary</x:v>
      </x:c>
      <x:c r="E37" s="36" t="n">
        <x:v>0.5</x:v>
      </x:c>
      <x:c r="F37" s="36" t="n">
        <x:v>0</x:v>
      </x:c>
      <x:c r="G37" s="36" t="n">
        <x:v>0.5</x:v>
      </x:c>
      <x:c r="H37" s="36" t="n">
        <x:v>0.055606155506854875</x:v>
      </x:c>
      <x:c r="I37" s="36" t="n">
        <x:v>0.022411938346231442</x:v>
      </x:c>
      <x:c r="J37" s="36" t="n">
        <x:v>0.9219819061459137</x:v>
      </x:c>
      <x:c r="K37" s="23" t="n">
        <x:f>0.5*(ABS(H37-E37)+ABS(I37-F37)+ABS(J37-G37))*100</x:f>
        <x:v>44.439384449264516</x:v>
      </x:c>
      <x:c r="L37" s="20" t="n">
        <x:v>24</x:v>
      </x:c>
    </x:row>
    <x:row r="38">
      <x:c r="A38" s="20" t="str">
        <x:v>nnls</x:v>
      </x:c>
      <x:c r="B38" s="20" t="str">
        <x:v>DQ6-TB12-TH3.csv</x:v>
      </x:c>
      <x:c r="C38" s="20" t="n">
        <x:v>2</x:v>
      </x:c>
      <x:c r="D38" s="20" t="str">
        <x:v>ternary</x:v>
      </x:c>
      <x:c r="E38" s="36" t="n">
        <x:v>0.2857142984867096</x:v>
      </x:c>
      <x:c r="F38" s="36" t="n">
        <x:v>0.5714285969734192</x:v>
      </x:c>
      <x:c r="G38" s="36" t="n">
        <x:v>0.1428571492433548</x:v>
      </x:c>
      <x:c r="H38" s="36" t="n">
        <x:v>0.31659075677696635</x:v>
      </x:c>
      <x:c r="I38" s="36" t="n">
        <x:v>0.5273199480421487</x:v>
      </x:c>
      <x:c r="J38" s="36" t="n">
        <x:v>0.15608929517988498</x:v>
      </x:c>
      <x:c r="K38" s="23" t="n">
        <x:f>0.5*(ABS(H38-E38)+ABS(I38-F38)+ABS(J38-G38))*100</x:f>
        <x:v>4.410862657902874</x:v>
      </x:c>
      <x:c r="L38" s="20" t="n">
        <x:v>24</x:v>
      </x:c>
    </x:row>
    <x:row r="39">
      <x:c r="A39" s="20" t="str">
        <x:v>nnls</x:v>
      </x:c>
      <x:c r="B39" s="20" t="str">
        <x:v>DQ6-TB3-TH3.csv</x:v>
      </x:c>
      <x:c r="C39" s="20" t="n">
        <x:v>2</x:v>
      </x:c>
      <x:c r="D39" s="20" t="str">
        <x:v>ternary</x:v>
      </x:c>
      <x:c r="E39" s="36" t="n">
        <x:v>0.5</x:v>
      </x:c>
      <x:c r="F39" s="36" t="n">
        <x:v>0.25</x:v>
      </x:c>
      <x:c r="G39" s="36" t="n">
        <x:v>0.25</x:v>
      </x:c>
      <x:c r="H39" s="36" t="n">
        <x:v>0.43515369322691894</x:v>
      </x:c>
      <x:c r="I39" s="36" t="n">
        <x:v>0.44682763980371193</x:v>
      </x:c>
      <x:c r="J39" s="36" t="n">
        <x:v>0.1180186669683692</x:v>
      </x:c>
      <x:c r="K39" s="23" t="n">
        <x:f>0.5*(ABS(H39-E39)+ABS(I39-F39)+ABS(J39-G39))*100</x:f>
        <x:v>19.68276398042119</x:v>
      </x:c>
      <x:c r="L39" s="20" t="n">
        <x:v>24</x:v>
      </x:c>
    </x:row>
    <x:row r="40">
      <x:c r="A40" s="20" t="str">
        <x:v>nnls</x:v>
      </x:c>
      <x:c r="B40" s="20" t="str">
        <x:v>DQ6-TB6-TH12.csv</x:v>
      </x:c>
      <x:c r="C40" s="20" t="n">
        <x:v>2</x:v>
      </x:c>
      <x:c r="D40" s="20" t="str">
        <x:v>ternary</x:v>
      </x:c>
      <x:c r="E40" s="36" t="n">
        <x:v>0.25</x:v>
      </x:c>
      <x:c r="F40" s="36" t="n">
        <x:v>0.25</x:v>
      </x:c>
      <x:c r="G40" s="36" t="n">
        <x:v>0.5</x:v>
      </x:c>
      <x:c r="H40" s="36" t="n">
        <x:v>0.2441008383771703</x:v>
      </x:c>
      <x:c r="I40" s="36" t="n">
        <x:v>0.2925175346459907</x:v>
      </x:c>
      <x:c r="J40" s="36" t="n">
        <x:v>0.4633816269758389</x:v>
      </x:c>
      <x:c r="K40" s="23" t="n">
        <x:f>0.5*(ABS(H40-E40)+ABS(I40-F40)+ABS(J40-G40))*100</x:f>
        <x:v>4.251753464649073</x:v>
      </x:c>
      <x:c r="L40" s="20" t="n">
        <x:v>24</x:v>
      </x:c>
    </x:row>
    <x:row r="41">
      <x:c r="A41" s="20" t="str">
        <x:v>nnls</x:v>
      </x:c>
      <x:c r="B41" s="20" t="str">
        <x:v>DQ12-TB12-TH6.csv</x:v>
      </x:c>
      <x:c r="C41" s="20" t="n">
        <x:v>3</x:v>
      </x:c>
      <x:c r="D41" s="20" t="str">
        <x:v>ternary</x:v>
      </x:c>
      <x:c r="E41" s="36" t="n">
        <x:v>0.4000000059604645</x:v>
      </x:c>
      <x:c r="F41" s="36" t="n">
        <x:v>0.4000000059604645</x:v>
      </x:c>
      <x:c r="G41" s="36" t="n">
        <x:v>0.20000000298023224</x:v>
      </x:c>
      <x:c r="H41" s="36" t="n">
        <x:v>0.3843293468084698</x:v>
      </x:c>
      <x:c r="I41" s="36" t="n">
        <x:v>0.39476879803402926</x:v>
      </x:c>
      <x:c r="J41" s="36" t="n">
        <x:v>0.22090185515650093</x:v>
      </x:c>
      <x:c r="K41" s="23" t="n">
        <x:f>0.5*(ABS(H41-E41)+ABS(I41-F41)+ABS(J41-G41))*100</x:f>
        <x:v>2.090185962734929</x:v>
      </x:c>
      <x:c r="L41" s="20" t="n">
        <x:v>24</x:v>
      </x:c>
    </x:row>
    <x:row r="42">
      <x:c r="A42" s="20" t="str">
        <x:v>nnls</x:v>
      </x:c>
      <x:c r="B42" s="20" t="str">
        <x:v>DQ12-TB24-TH24.csv</x:v>
      </x:c>
      <x:c r="C42" s="20" t="n">
        <x:v>3</x:v>
      </x:c>
      <x:c r="D42" s="20" t="str">
        <x:v>ternary</x:v>
      </x:c>
      <x:c r="E42" s="36" t="n">
        <x:v>0.20000000298023224</x:v>
      </x:c>
      <x:c r="F42" s="36" t="n">
        <x:v>0.4000000059604645</x:v>
      </x:c>
      <x:c r="G42" s="36" t="n">
        <x:v>0.4000000059604645</x:v>
      </x:c>
      <x:c r="H42" s="36" t="n">
        <x:v>0.1198571321055595</x:v>
      </x:c>
      <x:c r="I42" s="36" t="n">
        <x:v>0.4375826054246425</x:v>
      </x:c>
      <x:c r="J42" s="36" t="n">
        <x:v>0.4425602624687979</x:v>
      </x:c>
      <x:c r="K42" s="23" t="n">
        <x:f>0.5*(ABS(H42-E42)+ABS(I42-F42)+ABS(J42-G42))*100</x:f>
        <x:v>8.014286342359211</x:v>
      </x:c>
      <x:c r="L42" s="20" t="n">
        <x:v>24</x:v>
      </x:c>
    </x:row>
    <x:row r="43">
      <x:c r="A43" s="20" t="str">
        <x:v>nnls</x:v>
      </x:c>
      <x:c r="B43" s="20" t="str">
        <x:v>DQ12-TB24-TH3.csv</x:v>
      </x:c>
      <x:c r="C43" s="20" t="n">
        <x:v>3</x:v>
      </x:c>
      <x:c r="D43" s="20" t="str">
        <x:v>ternary</x:v>
      </x:c>
      <x:c r="E43" s="36" t="n">
        <x:v>0.3076923191547394</x:v>
      </x:c>
      <x:c r="F43" s="36" t="n">
        <x:v>0.6153846383094788</x:v>
      </x:c>
      <x:c r="G43" s="36" t="n">
        <x:v>0.07692307978868484</x:v>
      </x:c>
      <x:c r="H43" s="36" t="n">
        <x:v>0.17115942019076846</x:v>
      </x:c>
      <x:c r="I43" s="36" t="n">
        <x:v>0.7051850377096063</x:v>
      </x:c>
      <x:c r="J43" s="36" t="n">
        <x:v>0.12365554209862523</x:v>
      </x:c>
      <x:c r="K43" s="23" t="n">
        <x:f>0.5*(ABS(H43-E43)+ABS(I43-F43)+ABS(J43-G43))*100</x:f>
        <x:v>13.65328803370194</x:v>
      </x:c>
      <x:c r="L43" s="20" t="n">
        <x:v>24</x:v>
      </x:c>
    </x:row>
    <x:row r="44">
      <x:c r="A44" s="20" t="str">
        <x:v>nnls</x:v>
      </x:c>
      <x:c r="B44" s="20" t="str">
        <x:v>DQ12-TB3-TH12.csv</x:v>
      </x:c>
      <x:c r="C44" s="20" t="n">
        <x:v>3</x:v>
      </x:c>
      <x:c r="D44" s="20" t="str">
        <x:v>ternary</x:v>
      </x:c>
      <x:c r="E44" s="36" t="n">
        <x:v>0.4444444477558136</x:v>
      </x:c>
      <x:c r="F44" s="36" t="n">
        <x:v>0.1111111119389534</x:v>
      </x:c>
      <x:c r="G44" s="36" t="n">
        <x:v>0.4444444477558136</x:v>
      </x:c>
      <x:c r="H44" s="36" t="n">
        <x:v>0.2704997154251809</x:v>
      </x:c>
      <x:c r="I44" s="36" t="n">
        <x:v>0.2456795259074526</x:v>
      </x:c>
      <x:c r="J44" s="36" t="n">
        <x:v>0.4838207586663665</x:v>
      </x:c>
      <x:c r="K44" s="23" t="n">
        <x:f>0.5*(ABS(H44-E44)+ABS(I44-F44)+ABS(J44-G44))*100</x:f>
        <x:v>17.394472860484235</x:v>
      </x:c>
      <x:c r="L44" s="20" t="n">
        <x:v>24</x:v>
      </x:c>
    </x:row>
    <x:row r="45">
      <x:c r="A45" s="20" t="str">
        <x:v>nnls</x:v>
      </x:c>
      <x:c r="B45" s="20" t="str">
        <x:v>DQ12-TB6-TH3.csv</x:v>
      </x:c>
      <x:c r="C45" s="20" t="n">
        <x:v>3</x:v>
      </x:c>
      <x:c r="D45" s="20" t="str">
        <x:v>ternary</x:v>
      </x:c>
      <x:c r="E45" s="36" t="n">
        <x:v>0.5714285969734192</x:v>
      </x:c>
      <x:c r="F45" s="36" t="n">
        <x:v>0.2857142984867096</x:v>
      </x:c>
      <x:c r="G45" s="36" t="n">
        <x:v>0.1428571492433548</x:v>
      </x:c>
      <x:c r="H45" s="36" t="n">
        <x:v>0.3273968471909321</x:v>
      </x:c>
      <x:c r="I45" s="36" t="n">
        <x:v>0.578007493120105</x:v>
      </x:c>
      <x:c r="J45" s="36" t="n">
        <x:v>0.09459565968796281</x:v>
      </x:c>
      <x:c r="K45" s="23" t="n">
        <x:f>0.5*(ABS(H45-E45)+ABS(I45-F45)+ABS(J45-G45))*100</x:f>
        <x:v>29.229321698563727</x:v>
      </x:c>
      <x:c r="L45" s="20" t="n">
        <x:v>24</x:v>
      </x:c>
    </x:row>
    <x:row r="46">
      <x:c r="A46" s="20" t="str">
        <x:v>nnls</x:v>
      </x:c>
      <x:c r="B46" s="20" t="str">
        <x:v>DQ24-TB12-TH6.csv</x:v>
      </x:c>
      <x:c r="C46" s="20" t="n">
        <x:v>3</x:v>
      </x:c>
      <x:c r="D46" s="20" t="str">
        <x:v>ternary</x:v>
      </x:c>
      <x:c r="E46" s="36" t="n">
        <x:v>0.5714285969734192</x:v>
      </x:c>
      <x:c r="F46" s="36" t="n">
        <x:v>0.2857142984867096</x:v>
      </x:c>
      <x:c r="G46" s="36" t="n">
        <x:v>0.1428571492433548</x:v>
      </x:c>
      <x:c r="H46" s="36" t="n">
        <x:v>0.5306703161976473</x:v>
      </x:c>
      <x:c r="I46" s="36" t="n">
        <x:v>0.2699683760528235</x:v>
      </x:c>
      <x:c r="J46" s="36" t="n">
        <x:v>0.1993613077485291</x:v>
      </x:c>
      <x:c r="K46" s="23" t="n">
        <x:f>0.5*(ABS(H46-E46)+ABS(I46-F46)+ABS(J46-G46))*100</x:f>
        <x:v>5.650418085741617</x:v>
      </x:c>
      <x:c r="L46" s="20" t="n">
        <x:v>24</x:v>
      </x:c>
    </x:row>
    <x:row r="47">
      <x:c r="A47" s="20" t="str">
        <x:v>nnls</x:v>
      </x:c>
      <x:c r="B47" s="20" t="str">
        <x:v>DQ24-TB24-TH12.csv</x:v>
      </x:c>
      <x:c r="C47" s="20" t="n">
        <x:v>3</x:v>
      </x:c>
      <x:c r="D47" s="20" t="str">
        <x:v>ternary</x:v>
      </x:c>
      <x:c r="E47" s="36" t="n">
        <x:v>0.4000000059604645</x:v>
      </x:c>
      <x:c r="F47" s="36" t="n">
        <x:v>0.4000000059604645</x:v>
      </x:c>
      <x:c r="G47" s="36" t="n">
        <x:v>0.20000000298023224</x:v>
      </x:c>
      <x:c r="H47" s="36" t="n">
        <x:v>0.35840874853231797</x:v>
      </x:c>
      <x:c r="I47" s="36" t="n">
        <x:v>0.23485230380698993</x:v>
      </x:c>
      <x:c r="J47" s="36" t="n">
        <x:v>0.40673894765969215</x:v>
      </x:c>
      <x:c r="K47" s="23" t="n">
        <x:f>0.5*(ABS(H47-E47)+ABS(I47-F47)+ABS(J47-G47))*100</x:f>
        <x:v>20.67389521305405</x:v>
      </x:c>
      <x:c r="L47" s="20" t="n">
        <x:v>24</x:v>
      </x:c>
    </x:row>
    <x:row r="48">
      <x:c r="A48" s="20" t="str">
        <x:v>nnls</x:v>
      </x:c>
      <x:c r="B48" s="20" t="str">
        <x:v>DQ24-TB24-TH3.csv</x:v>
      </x:c>
      <x:c r="C48" s="20" t="n">
        <x:v>3</x:v>
      </x:c>
      <x:c r="D48" s="20" t="str">
        <x:v>ternary</x:v>
      </x:c>
      <x:c r="E48" s="36" t="n">
        <x:v>0.47058823704719543</x:v>
      </x:c>
      <x:c r="F48" s="36" t="n">
        <x:v>0.47058823704719543</x:v>
      </x:c>
      <x:c r="G48" s="36" t="n">
        <x:v>0.05882352963089943</x:v>
      </x:c>
      <x:c r="H48" s="36" t="n">
        <x:v>0.26655777897448946</x:v>
      </x:c>
      <x:c r="I48" s="36" t="n">
        <x:v>0.5886412437949456</x:v>
      </x:c>
      <x:c r="J48" s="36" t="n">
        <x:v>0.14480097722956478</x:v>
      </x:c>
      <x:c r="K48" s="23" t="n">
        <x:f>0.5*(ABS(H48-E48)+ABS(I48-F48)+ABS(J48-G48))*100</x:f>
        <x:v>20.403045620956078</x:v>
      </x:c>
      <x:c r="L48" s="20" t="n">
        <x:v>24</x:v>
      </x:c>
    </x:row>
    <x:row r="49">
      <x:c r="A49" s="20" t="str">
        <x:v>nnls</x:v>
      </x:c>
      <x:c r="B49" s="20" t="str">
        <x:v>DQ24-TB6-TH24.csv</x:v>
      </x:c>
      <x:c r="C49" s="20" t="n">
        <x:v>3</x:v>
      </x:c>
      <x:c r="D49" s="20" t="str">
        <x:v>ternary</x:v>
      </x:c>
      <x:c r="E49" s="36" t="n">
        <x:v>0.4444444477558136</x:v>
      </x:c>
      <x:c r="F49" s="36" t="n">
        <x:v>0.1111111119389534</x:v>
      </x:c>
      <x:c r="G49" s="36" t="n">
        <x:v>0.4444444477558136</x:v>
      </x:c>
      <x:c r="H49" s="36" t="n">
        <x:v>0.2739184805176706</x:v>
      </x:c>
      <x:c r="I49" s="36" t="n">
        <x:v>0.10955257752889867</x:v>
      </x:c>
      <x:c r="J49" s="36" t="n">
        <x:v>0.6165289419524308</x:v>
      </x:c>
      <x:c r="K49" s="23" t="n">
        <x:f>0.5*(ABS(H49-E49)+ABS(I49-F49)+ABS(J49-G49))*100</x:f>
        <x:v>17.208449792240746</x:v>
      </x:c>
      <x:c r="L49" s="20" t="n">
        <x:v>24</x:v>
      </x:c>
    </x:row>
    <x:row r="50">
      <x:c r="A50" s="20" t="str">
        <x:v>nnls</x:v>
      </x:c>
      <x:c r="B50" s="20" t="str">
        <x:v>DQ250-TB50-TH0.csv</x:v>
      </x:c>
      <x:c r="C50" s="20" t="n">
        <x:v>3</x:v>
      </x:c>
      <x:c r="D50" s="20" t="str">
        <x:v>binary</x:v>
      </x:c>
      <x:c r="E50" s="36" t="n">
        <x:v>0.8333333134651184</x:v>
      </x:c>
      <x:c r="F50" s="36" t="n">
        <x:v>0.1666666716337204</x:v>
      </x:c>
      <x:c r="G50" s="36" t="n">
        <x:v>0</x:v>
      </x:c>
      <x:c r="H50" s="36" t="n">
        <x:v>0.2571989645269919</x:v>
      </x:c>
      <x:c r="I50" s="36" t="n">
        <x:v>0.7100600862937417</x:v>
      </x:c>
      <x:c r="J50" s="36" t="n">
        <x:v>0.03274094917826648</x:v>
      </x:c>
      <x:c r="K50" s="23" t="n">
        <x:f>0.5*(ABS(H50-E50)+ABS(I50-F50)+ABS(J50-G50))*100</x:f>
        <x:v>57.61343563882072</x:v>
      </x:c>
      <x:c r="L50" s="20" t="n">
        <x:v>24</x:v>
      </x:c>
    </x:row>
    <x:row r="51">
      <x:c r="A51" s="20" t="str">
        <x:v>nnls</x:v>
      </x:c>
      <x:c r="B51" s="20" t="str">
        <x:v>DQ3-TB12-TH24.csv</x:v>
      </x:c>
      <x:c r="C51" s="20" t="n">
        <x:v>3</x:v>
      </x:c>
      <x:c r="D51" s="20" t="str">
        <x:v>ternary</x:v>
      </x:c>
      <x:c r="E51" s="36" t="n">
        <x:v>0.07692307978868484</x:v>
      </x:c>
      <x:c r="F51" s="36" t="n">
        <x:v>0.3076923191547394</x:v>
      </x:c>
      <x:c r="G51" s="36" t="n">
        <x:v>0.6153846383094788</x:v>
      </x:c>
      <x:c r="H51" s="36" t="n">
        <x:v>0.2228221413671575</x:v>
      </x:c>
      <x:c r="I51" s="36" t="n">
        <x:v>0.14743428548564733</x:v>
      </x:c>
      <x:c r="J51" s="36" t="n">
        <x:v>0.6297435731461952</x:v>
      </x:c>
      <x:c r="K51" s="23" t="n">
        <x:f>0.5*(ABS(H51-E51)+ABS(I51-F51)+ABS(J51-G51))*100</x:f>
        <x:v>16.02580150421406</x:v>
      </x:c>
      <x:c r="L51" s="20" t="n">
        <x:v>24</x:v>
      </x:c>
    </x:row>
    <x:row r="52">
      <x:c r="A52" s="20" t="str">
        <x:v>nnls</x:v>
      </x:c>
      <x:c r="B52" s="20" t="str">
        <x:v>DQ3-TB6-TH6.csv</x:v>
      </x:c>
      <x:c r="C52" s="20" t="n">
        <x:v>3</x:v>
      </x:c>
      <x:c r="D52" s="20" t="str">
        <x:v>ternary</x:v>
      </x:c>
      <x:c r="E52" s="36" t="n">
        <x:v>0.20000000298023224</x:v>
      </x:c>
      <x:c r="F52" s="36" t="n">
        <x:v>0.4000000059604645</x:v>
      </x:c>
      <x:c r="G52" s="36" t="n">
        <x:v>0.4000000059604645</x:v>
      </x:c>
      <x:c r="H52" s="36" t="n">
        <x:v>0.3938044387256585</x:v>
      </x:c>
      <x:c r="I52" s="36" t="n">
        <x:v>0.2730684239326734</x:v>
      </x:c>
      <x:c r="J52" s="36" t="n">
        <x:v>0.333127137340668</x:v>
      </x:c>
      <x:c r="K52" s="23" t="n">
        <x:f>0.5*(ABS(H52-E52)+ABS(I52-F52)+ABS(J52-G52))*100</x:f>
        <x:v>19.380444319650692</x:v>
      </x:c>
      <x:c r="L52" s="20" t="n">
        <x:v>24</x:v>
      </x:c>
    </x:row>
    <x:row r="53">
      <x:c r="A53" s="20" t="str">
        <x:v>nnls</x:v>
      </x:c>
      <x:c r="B53" s="20" t="str">
        <x:v>DQ50-TB0-TH150.csv</x:v>
      </x:c>
      <x:c r="C53" s="20" t="n">
        <x:v>3</x:v>
      </x:c>
      <x:c r="D53" s="20" t="str">
        <x:v>binary</x:v>
      </x:c>
      <x:c r="E53" s="36" t="n">
        <x:v>0.25</x:v>
      </x:c>
      <x:c r="F53" s="36" t="n">
        <x:v>0</x:v>
      </x:c>
      <x:c r="G53" s="36" t="n">
        <x:v>0.75</x:v>
      </x:c>
      <x:c r="H53" s="36" t="n">
        <x:v>0.014208820972787242</x:v>
      </x:c>
      <x:c r="I53" s="36" t="n">
        <x:v>0.008476261272591625</x:v>
      </x:c>
      <x:c r="J53" s="36" t="n">
        <x:v>0.9773149177536212</x:v>
      </x:c>
      <x:c r="K53" s="23" t="n">
        <x:f>0.5*(ABS(H53-E53)+ABS(I53-F53)+ABS(J53-G53))*100</x:f>
        <x:v>23.579117902671282</x:v>
      </x:c>
      <x:c r="L53" s="20" t="n">
        <x:v>24</x:v>
      </x:c>
    </x:row>
    <x:row r="54">
      <x:c r="A54" s="20" t="str">
        <x:v>nnls</x:v>
      </x:c>
      <x:c r="B54" s="20" t="str">
        <x:v>DQ50-TB250-TH0.csv</x:v>
      </x:c>
      <x:c r="C54" s="20" t="n">
        <x:v>3</x:v>
      </x:c>
      <x:c r="D54" s="20" t="str">
        <x:v>binary</x:v>
      </x:c>
      <x:c r="E54" s="36" t="n">
        <x:v>0.1666666716337204</x:v>
      </x:c>
      <x:c r="F54" s="36" t="n">
        <x:v>0.8333333134651184</x:v>
      </x:c>
      <x:c r="G54" s="36" t="n">
        <x:v>0</x:v>
      </x:c>
      <x:c r="H54" s="36" t="n">
        <x:v>0.18304640312369783</x:v>
      </x:c>
      <x:c r="I54" s="36" t="n">
        <x:v>0.79253644189221</x:v>
      </x:c>
      <x:c r="J54" s="36" t="n">
        <x:v>0.024417154983092007</x:v>
      </x:c>
      <x:c r="K54" s="23" t="n">
        <x:f>0.5*(ABS(H54-E54)+ABS(I54-F54)+ABS(J54-G54))*100</x:f>
        <x:v>4.079687902298894</x:v>
      </x:c>
      <x:c r="L54" s="20" t="n">
        <x:v>24</x:v>
      </x:c>
    </x:row>
    <x:row r="55">
      <x:c r="A55" s="20" t="str">
        <x:v>nnls</x:v>
      </x:c>
      <x:c r="B55" s="20" t="str">
        <x:v>DQ500-TB0-TH50.csv</x:v>
      </x:c>
      <x:c r="C55" s="20" t="n">
        <x:v>3</x:v>
      </x:c>
      <x:c r="D55" s="20" t="str">
        <x:v>binary</x:v>
      </x:c>
      <x:c r="E55" s="36" t="n">
        <x:v>0.9090909361839294</x:v>
      </x:c>
      <x:c r="F55" s="36" t="n">
        <x:v>0</x:v>
      </x:c>
      <x:c r="G55" s="36" t="n">
        <x:v>0.09090909361839294</x:v>
      </x:c>
      <x:c r="H55" s="36" t="n">
        <x:v>0.577756631257631</x:v>
      </x:c>
      <x:c r="I55" s="36" t="n">
        <x:v>0.001752543706021404</x:v>
      </x:c>
      <x:c r="J55" s="36" t="n">
        <x:v>0.42049082503534757</x:v>
      </x:c>
      <x:c r="K55" s="23" t="n">
        <x:f>0.5*(ABS(H55-E55)+ABS(I55-F55)+ABS(J55-G55))*100</x:f>
        <x:v>33.13342900246372</x:v>
      </x:c>
      <x:c r="L55" s="20" t="n">
        <x:v>24</x:v>
      </x:c>
    </x:row>
    <x:row r="56">
      <x:c r="A56" s="20" t="str">
        <x:v>nnls</x:v>
      </x:c>
      <x:c r="B56" s="20" t="str">
        <x:v>DQ500-TB500-TH0.csv</x:v>
      </x:c>
      <x:c r="C56" s="20" t="n">
        <x:v>3</x:v>
      </x:c>
      <x:c r="D56" s="20" t="str">
        <x:v>binary</x:v>
      </x:c>
      <x:c r="E56" s="36" t="n">
        <x:v>0.5</x:v>
      </x:c>
      <x:c r="F56" s="36" t="n">
        <x:v>0.5</x:v>
      </x:c>
      <x:c r="G56" s="36" t="n">
        <x:v>0</x:v>
      </x:c>
      <x:c r="H56" s="36" t="n">
        <x:v>0.6656339588279935</x:v>
      </x:c>
      <x:c r="I56" s="36" t="n">
        <x:v>0.27070244737101795</x:v>
      </x:c>
      <x:c r="J56" s="36" t="n">
        <x:v>0.06366359379998843</x:v>
      </x:c>
      <x:c r="K56" s="23" t="n">
        <x:f>0.5*(ABS(H56-E56)+ABS(I56-F56)+ABS(J56-G56))*100</x:f>
        <x:v>22.929755262848197</x:v>
      </x:c>
      <x:c r="L56" s="20" t="n">
        <x:v>24</x:v>
      </x:c>
    </x:row>
    <x:row r="57">
      <x:c r="A57" s="20" t="str">
        <x:v>nnls</x:v>
      </x:c>
      <x:c r="B57" s="20" t="str">
        <x:v>DQ6-TB12-TH12.csv</x:v>
      </x:c>
      <x:c r="C57" s="20" t="n">
        <x:v>3</x:v>
      </x:c>
      <x:c r="D57" s="20" t="str">
        <x:v>ternary</x:v>
      </x:c>
      <x:c r="E57" s="36" t="n">
        <x:v>0.20000000298023224</x:v>
      </x:c>
      <x:c r="F57" s="36" t="n">
        <x:v>0.4000000059604645</x:v>
      </x:c>
      <x:c r="G57" s="36" t="n">
        <x:v>0.4000000059604645</x:v>
      </x:c>
      <x:c r="H57" s="36" t="n">
        <x:v>0.2224380778774421</x:v>
      </x:c>
      <x:c r="I57" s="36" t="n">
        <x:v>0.3427296367309207</x:v>
      </x:c>
      <x:c r="J57" s="36" t="n">
        <x:v>0.4348322853906372</x:v>
      </x:c>
      <x:c r="K57" s="23" t="n">
        <x:f>0.5*(ABS(H57-E57)+ABS(I57-F57)+ABS(J57-G57))*100</x:f>
        <x:v>5.727036177846316</x:v>
      </x:c>
      <x:c r="L57" s="20" t="n">
        <x:v>24</x:v>
      </x:c>
    </x:row>
    <x:row r="58">
      <x:c r="A58" s="20" t="str">
        <x:v>nnls</x:v>
      </x:c>
      <x:c r="B58" s="20" t="str">
        <x:v>DQ6-TB6-TH3.csv</x:v>
      </x:c>
      <x:c r="C58" s="20" t="n">
        <x:v>3</x:v>
      </x:c>
      <x:c r="D58" s="20" t="str">
        <x:v>ternary</x:v>
      </x:c>
      <x:c r="E58" s="36" t="n">
        <x:v>0.4000000059604645</x:v>
      </x:c>
      <x:c r="F58" s="36" t="n">
        <x:v>0.4000000059604645</x:v>
      </x:c>
      <x:c r="G58" s="36" t="n">
        <x:v>0.20000000298023224</x:v>
      </x:c>
      <x:c r="H58" s="36" t="n">
        <x:v>0.3666761540423274</x:v>
      </x:c>
      <x:c r="I58" s="36" t="n">
        <x:v>0.5054705901615363</x:v>
      </x:c>
      <x:c r="J58" s="36" t="n">
        <x:v>0.1278532557951364</x:v>
      </x:c>
      <x:c r="K58" s="23" t="n">
        <x:f>0.5*(ABS(H58-E58)+ABS(I58-F58)+ABS(J58-G58))*100</x:f>
        <x:v>10.547059165215236</x:v>
      </x:c>
      <x:c r="L58" s="20" t="n">
        <x:v>24</x:v>
      </x:c>
    </x:row>
    <x:row r="59">
      <x:c r="A59" s="20" t="str">
        <x:v>nnls</x:v>
      </x:c>
      <x:c r="B59" s="20" t="str">
        <x:v>DQ0-TB150-TH50.csv</x:v>
      </x:c>
      <x:c r="C59" s="20" t="n">
        <x:v>4</x:v>
      </x:c>
      <x:c r="D59" s="20" t="str">
        <x:v>binary</x:v>
      </x:c>
      <x:c r="E59" s="36" t="n">
        <x:v>0</x:v>
      </x:c>
      <x:c r="F59" s="36" t="n">
        <x:v>0.75</x:v>
      </x:c>
      <x:c r="G59" s="36" t="n">
        <x:v>0.25</x:v>
      </x:c>
      <x:c r="H59" s="36" t="n">
        <x:v>0</x:v>
      </x:c>
      <x:c r="I59" s="36" t="n">
        <x:v>0.499006997478084</x:v>
      </x:c>
      <x:c r="J59" s="36" t="n">
        <x:v>0.5009930025209158</x:v>
      </x:c>
      <x:c r="K59" s="23" t="n">
        <x:f>0.5*(ABS(H59-E59)+ABS(I59-F59)+ABS(J59-G59))*100</x:f>
        <x:v>25.09930025214159</x:v>
      </x:c>
      <x:c r="L59" s="20" t="n">
        <x:v>24</x:v>
      </x:c>
    </x:row>
    <x:row r="60">
      <x:c r="A60" s="20" t="str">
        <x:v>nnls</x:v>
      </x:c>
      <x:c r="B60" s="20" t="str">
        <x:v>DQ0-TB50-TH150.csv</x:v>
      </x:c>
      <x:c r="C60" s="20" t="n">
        <x:v>4</x:v>
      </x:c>
      <x:c r="D60" s="20" t="str">
        <x:v>binary</x:v>
      </x:c>
      <x:c r="E60" s="36" t="n">
        <x:v>0</x:v>
      </x:c>
      <x:c r="F60" s="36" t="n">
        <x:v>0.25</x:v>
      </x:c>
      <x:c r="G60" s="36" t="n">
        <x:v>0.75</x:v>
      </x:c>
      <x:c r="H60" s="36" t="n">
        <x:v>0.08730191565171241</x:v>
      </x:c>
      <x:c r="I60" s="36" t="n">
        <x:v>0.15209914277021824</x:v>
      </x:c>
      <x:c r="J60" s="36" t="n">
        <x:v>0.7605989415770694</x:v>
      </x:c>
      <x:c r="K60" s="23" t="n">
        <x:f>0.5*(ABS(H60-E60)+ABS(I60-F60)+ABS(J60-G60))*100</x:f>
        <x:v>9.790085722928179</x:v>
      </x:c>
      <x:c r="L60" s="20" t="n">
        <x:v>24</x:v>
      </x:c>
    </x:row>
    <x:row r="61">
      <x:c r="A61" s="20" t="str">
        <x:v>nnls</x:v>
      </x:c>
      <x:c r="B61" s="20" t="str">
        <x:v>DQ12-TB24-TH12.csv</x:v>
      </x:c>
      <x:c r="C61" s="20" t="n">
        <x:v>4</x:v>
      </x:c>
      <x:c r="D61" s="20" t="str">
        <x:v>ternary</x:v>
      </x:c>
      <x:c r="E61" s="36" t="n">
        <x:v>0.25</x:v>
      </x:c>
      <x:c r="F61" s="36" t="n">
        <x:v>0.5</x:v>
      </x:c>
      <x:c r="G61" s="36" t="n">
        <x:v>0.25</x:v>
      </x:c>
      <x:c r="H61" s="36" t="n">
        <x:v>0.0010787618701046657</x:v>
      </x:c>
      <x:c r="I61" s="36" t="n">
        <x:v>0.6128518301782461</x:v>
      </x:c>
      <x:c r="J61" s="36" t="n">
        <x:v>0.38606940795064926</x:v>
      </x:c>
      <x:c r="K61" s="23" t="n">
        <x:f>0.5*(ABS(H61-E61)+ABS(I61-F61)+ABS(J61-G61))*100</x:f>
        <x:v>24.89212381293953</x:v>
      </x:c>
      <x:c r="L61" s="20" t="n">
        <x:v>24</x:v>
      </x:c>
    </x:row>
    <x:row r="62">
      <x:c r="A62" s="20" t="str">
        <x:v>nnls</x:v>
      </x:c>
      <x:c r="B62" s="20" t="str">
        <x:v>DQ12-TB6-TH24.csv</x:v>
      </x:c>
      <x:c r="C62" s="20" t="n">
        <x:v>4</x:v>
      </x:c>
      <x:c r="D62" s="20" t="str">
        <x:v>ternary</x:v>
      </x:c>
      <x:c r="E62" s="36" t="n">
        <x:v>0.2857142984867096</x:v>
      </x:c>
      <x:c r="F62" s="36" t="n">
        <x:v>0.1428571492433548</x:v>
      </x:c>
      <x:c r="G62" s="36" t="n">
        <x:v>0.5714285969734192</x:v>
      </x:c>
      <x:c r="H62" s="36" t="n">
        <x:v>0.25372339933430005</x:v>
      </x:c>
      <x:c r="I62" s="36" t="n">
        <x:v>0.14273232340600958</x:v>
      </x:c>
      <x:c r="J62" s="36" t="n">
        <x:v>0.6035442772586904</x:v>
      </x:c>
      <x:c r="K62" s="23" t="n">
        <x:f>0.5*(ABS(H62-E62)+ABS(I62-F62)+ABS(J62-G62))*100</x:f>
        <x:v>3.2115702637512995</x:v>
      </x:c>
      <x:c r="L62" s="20" t="n">
        <x:v>24</x:v>
      </x:c>
    </x:row>
    <x:row r="63">
      <x:c r="A63" s="20" t="str">
        <x:v>nnls</x:v>
      </x:c>
      <x:c r="B63" s="20" t="str">
        <x:v>DQ24-TB3-TH12.csv</x:v>
      </x:c>
      <x:c r="C63" s="20" t="n">
        <x:v>4</x:v>
      </x:c>
      <x:c r="D63" s="20" t="str">
        <x:v>ternary</x:v>
      </x:c>
      <x:c r="E63" s="36" t="n">
        <x:v>0.6153846383094788</x:v>
      </x:c>
      <x:c r="F63" s="36" t="n">
        <x:v>0.07692307978868484</x:v>
      </x:c>
      <x:c r="G63" s="36" t="n">
        <x:v>0.3076923191547394</x:v>
      </x:c>
      <x:c r="H63" s="36" t="n">
        <x:v>0.1928646868250656</x:v>
      </x:c>
      <x:c r="I63" s="36" t="n">
        <x:v>0.11785307183870845</x:v>
      </x:c>
      <x:c r="J63" s="36" t="n">
        <x:v>0.6892822413352259</x:v>
      </x:c>
      <x:c r="K63" s="23" t="n">
        <x:f>0.5*(ABS(H63-E63)+ABS(I63-F63)+ABS(J63-G63))*100</x:f>
        <x:v>42.25199328574616</x:v>
      </x:c>
      <x:c r="L63" s="20" t="n">
        <x:v>24</x:v>
      </x:c>
    </x:row>
    <x:row r="64">
      <x:c r="A64" s="20" t="str">
        <x:v>nnls</x:v>
      </x:c>
      <x:c r="B64" s="20" t="str">
        <x:v>DQ24-TB3-TH3.csv</x:v>
      </x:c>
      <x:c r="C64" s="20" t="n">
        <x:v>4</x:v>
      </x:c>
      <x:c r="D64" s="20" t="str">
        <x:v>ternary</x:v>
      </x:c>
      <x:c r="E64" s="36" t="n">
        <x:v>0.800000011920929</x:v>
      </x:c>
      <x:c r="F64" s="36" t="n">
        <x:v>0.10000000149011612</x:v>
      </x:c>
      <x:c r="G64" s="36" t="n">
        <x:v>0.10000000149011612</x:v>
      </x:c>
      <x:c r="H64" s="36" t="n">
        <x:v>0.5961605260275268</x:v>
      </x:c>
      <x:c r="I64" s="36" t="n">
        <x:v>0.24507892251591787</x:v>
      </x:c>
      <x:c r="J64" s="36" t="n">
        <x:v>0.1587605514555554</x:v>
      </x:c>
      <x:c r="K64" s="23" t="n">
        <x:f>0.5*(ABS(H64-E64)+ABS(I64-F64)+ABS(J64-G64))*100</x:f>
        <x:v>20.38394784423216</x:v>
      </x:c>
      <x:c r="L64" s="20" t="n">
        <x:v>24</x:v>
      </x:c>
    </x:row>
    <x:row r="65">
      <x:c r="A65" s="20" t="str">
        <x:v>nnls</x:v>
      </x:c>
      <x:c r="B65" s="20" t="str">
        <x:v>DQ24-TB3-TH6.csv</x:v>
      </x:c>
      <x:c r="C65" s="20" t="n">
        <x:v>4</x:v>
      </x:c>
      <x:c r="D65" s="20" t="str">
        <x:v>ternary</x:v>
      </x:c>
      <x:c r="E65" s="36" t="n">
        <x:v>0.7272727489471436</x:v>
      </x:c>
      <x:c r="F65" s="36" t="n">
        <x:v>0.09090909361839294</x:v>
      </x:c>
      <x:c r="G65" s="36" t="n">
        <x:v>0.1818181872367859</x:v>
      </x:c>
      <x:c r="H65" s="36" t="n">
        <x:v>0.45047445702493166</x:v>
      </x:c>
      <x:c r="I65" s="36" t="n">
        <x:v>0.15058374085767934</x:v>
      </x:c>
      <x:c r="J65" s="36" t="n">
        <x:v>0.3989418021163889</x:v>
      </x:c>
      <x:c r="K65" s="23" t="n">
        <x:f>0.5*(ABS(H65-E65)+ABS(I65-F65)+ABS(J65-G65))*100</x:f>
        <x:v>27.679827702055064</x:v>
      </x:c>
      <x:c r="L65" s="20" t="n">
        <x:v>24</x:v>
      </x:c>
    </x:row>
    <x:row r="66">
      <x:c r="A66" s="20" t="str">
        <x:v>nnls</x:v>
      </x:c>
      <x:c r="B66" s="20" t="str">
        <x:v>DQ24-TB6-TH3.csv</x:v>
      </x:c>
      <x:c r="C66" s="20" t="n">
        <x:v>4</x:v>
      </x:c>
      <x:c r="D66" s="20" t="str">
        <x:v>ternary</x:v>
      </x:c>
      <x:c r="E66" s="36" t="n">
        <x:v>0.7272727489471436</x:v>
      </x:c>
      <x:c r="F66" s="36" t="n">
        <x:v>0.1818181872367859</x:v>
      </x:c>
      <x:c r="G66" s="36" t="n">
        <x:v>0.09090909361839294</x:v>
      </x:c>
      <x:c r="H66" s="36" t="n">
        <x:v>0.6061158152429349</x:v>
      </x:c>
      <x:c r="I66" s="36" t="n">
        <x:v>0.2858385033871794</x:v>
      </x:c>
      <x:c r="J66" s="36" t="n">
        <x:v>0.10804568136888558</x:v>
      </x:c>
      <x:c r="K66" s="23" t="n">
        <x:f>0.5*(ABS(H66-E66)+ABS(I66-F66)+ABS(J66-G66))*100</x:f>
        <x:v>12.115691880254742</x:v>
      </x:c>
      <x:c r="L66" s="20" t="n">
        <x:v>24</x:v>
      </x:c>
    </x:row>
    <x:row r="67">
      <x:c r="A67" s="20" t="str">
        <x:v>nnls</x:v>
      </x:c>
      <x:c r="B67" s="20" t="str">
        <x:v>DQ3-TB12-TH6.csv</x:v>
      </x:c>
      <x:c r="C67" s="20" t="n">
        <x:v>4</x:v>
      </x:c>
      <x:c r="D67" s="20" t="str">
        <x:v>ternary</x:v>
      </x:c>
      <x:c r="E67" s="36" t="n">
        <x:v>0.1428571492433548</x:v>
      </x:c>
      <x:c r="F67" s="36" t="n">
        <x:v>0.5714285969734192</x:v>
      </x:c>
      <x:c r="G67" s="36" t="n">
        <x:v>0.2857142984867096</x:v>
      </x:c>
      <x:c r="H67" s="36" t="n">
        <x:v>0.3347612967059363</x:v>
      </x:c>
      <x:c r="I67" s="36" t="n">
        <x:v>0.4236295877086762</x:v>
      </x:c>
      <x:c r="J67" s="36" t="n">
        <x:v>0.24160911558438739</x:v>
      </x:c>
      <x:c r="K67" s="23" t="n">
        <x:f>0.5*(ABS(H67-E67)+ABS(I67-F67)+ABS(J67-G67))*100</x:f>
        <x:v>19.190416981482333</x:v>
      </x:c>
      <x:c r="L67" s="20" t="n">
        <x:v>24</x:v>
      </x:c>
    </x:row>
    <x:row r="68">
      <x:c r="A68" s="20" t="str">
        <x:v>nnls</x:v>
      </x:c>
      <x:c r="B68" s="20" t="str">
        <x:v>DQ3-TB24-TH12.csv</x:v>
      </x:c>
      <x:c r="C68" s="20" t="n">
        <x:v>4</x:v>
      </x:c>
      <x:c r="D68" s="20" t="str">
        <x:v>ternary</x:v>
      </x:c>
      <x:c r="E68" s="36" t="n">
        <x:v>0.07692307978868484</x:v>
      </x:c>
      <x:c r="F68" s="36" t="n">
        <x:v>0.6153846383094788</x:v>
      </x:c>
      <x:c r="G68" s="36" t="n">
        <x:v>0.3076923191547394</x:v>
      </x:c>
      <x:c r="H68" s="36" t="n">
        <x:v>0.05011202685198187</x:v>
      </x:c>
      <x:c r="I68" s="36" t="n">
        <x:v>0.7297711170345759</x:v>
      </x:c>
      <x:c r="J68" s="36" t="n">
        <x:v>0.22011685611244222</x:v>
      </x:c>
      <x:c r="K68" s="23" t="n">
        <x:f>0.5*(ABS(H68-E68)+ABS(I68-F68)+ABS(J68-G68))*100</x:f>
        <x:v>11.438649735204862</x:v>
      </x:c>
      <x:c r="L68" s="20" t="n">
        <x:v>24</x:v>
      </x:c>
    </x:row>
    <x:row r="69">
      <x:c r="A69" s="20" t="str">
        <x:v>nnls</x:v>
      </x:c>
      <x:c r="B69" s="20" t="str">
        <x:v>DQ3-TB6-TH12.csv</x:v>
      </x:c>
      <x:c r="C69" s="20" t="n">
        <x:v>4</x:v>
      </x:c>
      <x:c r="D69" s="20" t="str">
        <x:v>ternary</x:v>
      </x:c>
      <x:c r="E69" s="36" t="n">
        <x:v>0.1428571492433548</x:v>
      </x:c>
      <x:c r="F69" s="36" t="n">
        <x:v>0.2857142984867096</x:v>
      </x:c>
      <x:c r="G69" s="36" t="n">
        <x:v>0.5714285969734192</x:v>
      </x:c>
      <x:c r="H69" s="36" t="n">
        <x:v>0.2776036618050849</x:v>
      </x:c>
      <x:c r="I69" s="36" t="n">
        <x:v>0.20465441542880877</x:v>
      </x:c>
      <x:c r="J69" s="36" t="n">
        <x:v>0.5177419227651062</x:v>
      </x:c>
      <x:c r="K69" s="23" t="n">
        <x:f>0.5*(ABS(H69-E69)+ABS(I69-F69)+ABS(J69-G69))*100</x:f>
        <x:v>13.474653491397193</x:v>
      </x:c>
      <x:c r="L69" s="20" t="n">
        <x:v>24</x:v>
      </x:c>
    </x:row>
    <x:row r="70">
      <x:c r="A70" s="20" t="str">
        <x:v>nnls</x:v>
      </x:c>
      <x:c r="B70" s="20" t="str">
        <x:v>DQ3-TB6-TH24.csv</x:v>
      </x:c>
      <x:c r="C70" s="20" t="n">
        <x:v>4</x:v>
      </x:c>
      <x:c r="D70" s="20" t="str">
        <x:v>ternary</x:v>
      </x:c>
      <x:c r="E70" s="36" t="n">
        <x:v>0.09090909361839294</x:v>
      </x:c>
      <x:c r="F70" s="36" t="n">
        <x:v>0.1818181872367859</x:v>
      </x:c>
      <x:c r="G70" s="36" t="n">
        <x:v>0.7272727489471436</x:v>
      </x:c>
      <x:c r="H70" s="36" t="n">
        <x:v>0.23551645215437825</x:v>
      </x:c>
      <x:c r="I70" s="36" t="n">
        <x:v>0.1212842299390982</x:v>
      </x:c>
      <x:c r="J70" s="36" t="n">
        <x:v>0.6431993179055236</x:v>
      </x:c>
      <x:c r="K70" s="23" t="n">
        <x:f>0.5*(ABS(H70-E70)+ABS(I70-F70)+ABS(J70-G70))*100</x:f>
        <x:v>14.460737343764645</x:v>
      </x:c>
      <x:c r="L70" s="20" t="n">
        <x:v>24</x:v>
      </x:c>
    </x:row>
    <x:row r="71">
      <x:c r="A71" s="20" t="str">
        <x:v>nnls</x:v>
      </x:c>
      <x:c r="B71" s="20" t="str">
        <x:v>DQ3-TB6-TH3.csv</x:v>
      </x:c>
      <x:c r="C71" s="20" t="n">
        <x:v>4</x:v>
      </x:c>
      <x:c r="D71" s="20" t="str">
        <x:v>ternary</x:v>
      </x:c>
      <x:c r="E71" s="36" t="n">
        <x:v>0.25</x:v>
      </x:c>
      <x:c r="F71" s="36" t="n">
        <x:v>0.5</x:v>
      </x:c>
      <x:c r="G71" s="36" t="n">
        <x:v>0.25</x:v>
      </x:c>
      <x:c r="H71" s="36" t="n">
        <x:v>0.26309607284058817</x:v>
      </x:c>
      <x:c r="I71" s="36" t="n">
        <x:v>0.47013690025347743</x:v>
      </x:c>
      <x:c r="J71" s="36" t="n">
        <x:v>0.2667670269049345</x:v>
      </x:c>
      <x:c r="K71" s="23" t="n">
        <x:f>0.5*(ABS(H71-E71)+ABS(I71-F71)+ABS(J71-G71))*100</x:f>
        <x:v>2.986309974602261</x:v>
      </x:c>
      <x:c r="L71" s="20" t="n">
        <x:v>24</x:v>
      </x:c>
    </x:row>
    <x:row r="72">
      <x:c r="A72" s="20" t="str">
        <x:v>nnls</x:v>
      </x:c>
      <x:c r="B72" s="20" t="str">
        <x:v>DQ33-TB333-TH333.csv</x:v>
      </x:c>
      <x:c r="C72" s="20" t="n">
        <x:v>4</x:v>
      </x:c>
      <x:c r="D72" s="20" t="str">
        <x:v>ternary</x:v>
      </x:c>
      <x:c r="E72" s="36" t="n">
        <x:v>0.04721030220389366</x:v>
      </x:c>
      <x:c r="F72" s="36" t="n">
        <x:v>0.4763948619365692</x:v>
      </x:c>
      <x:c r="G72" s="36" t="n">
        <x:v>0.4763948619365692</x:v>
      </x:c>
      <x:c r="H72" s="36" t="n">
        <x:v>0.0030786469630048915</x:v>
      </x:c>
      <x:c r="I72" s="36" t="n">
        <x:v>0.000041219163331558124</x:v>
      </x:c>
      <x:c r="J72" s="36" t="n">
        <x:v>0.9968801338726633</x:v>
      </x:c>
      <x:c r="K72" s="23" t="n">
        <x:f>0.5*(ABS(H72-E72)+ABS(I72-F72)+ABS(J72-G72))*100</x:f>
        <x:v>52.04852849751103</x:v>
      </x:c>
      <x:c r="L72" s="20" t="n">
        <x:v>24</x:v>
      </x:c>
    </x:row>
    <x:row r="73">
      <x:c r="A73" s="20" t="str">
        <x:v>nnls</x:v>
      </x:c>
      <x:c r="B73" s="20" t="str">
        <x:v>DQ6-TB12-TH24.csv</x:v>
      </x:c>
      <x:c r="C73" s="20" t="n">
        <x:v>4</x:v>
      </x:c>
      <x:c r="D73" s="20" t="str">
        <x:v>ternary</x:v>
      </x:c>
      <x:c r="E73" s="36" t="n">
        <x:v>0.1428571492433548</x:v>
      </x:c>
      <x:c r="F73" s="36" t="n">
        <x:v>0.2857142984867096</x:v>
      </x:c>
      <x:c r="G73" s="36" t="n">
        <x:v>0.5714285969734192</x:v>
      </x:c>
      <x:c r="H73" s="36" t="n">
        <x:v>0.09053756982090337</x:v>
      </x:c>
      <x:c r="I73" s="36" t="n">
        <x:v>0.2169400222334937</x:v>
      </x:c>
      <x:c r="J73" s="36" t="n">
        <x:v>0.6925224079446028</x:v>
      </x:c>
      <x:c r="K73" s="23" t="n">
        <x:f>0.5*(ABS(H73-E73)+ABS(I73-F73)+ABS(J73-G73))*100</x:f>
        <x:v>12.10938333234255</x:v>
      </x:c>
      <x:c r="L73" s="20" t="n">
        <x:v>24</x:v>
      </x:c>
    </x:row>
    <x:row r="74">
      <x:c r="A74" s="20" t="str">
        <x:v>nnls</x:v>
      </x:c>
      <x:c r="B74" s="20" t="str">
        <x:v>DQ6-TB12-TH6.csv</x:v>
      </x:c>
      <x:c r="C74" s="20" t="n">
        <x:v>4</x:v>
      </x:c>
      <x:c r="D74" s="20" t="str">
        <x:v>ternary</x:v>
      </x:c>
      <x:c r="E74" s="36" t="n">
        <x:v>0.25</x:v>
      </x:c>
      <x:c r="F74" s="36" t="n">
        <x:v>0.5</x:v>
      </x:c>
      <x:c r="G74" s="36" t="n">
        <x:v>0.25</x:v>
      </x:c>
      <x:c r="H74" s="36" t="n">
        <x:v>0.305558830731878</x:v>
      </x:c>
      <x:c r="I74" s="36" t="n">
        <x:v>0.530579467131519</x:v>
      </x:c>
      <x:c r="J74" s="36" t="n">
        <x:v>0.1638617021356029</x:v>
      </x:c>
      <x:c r="K74" s="23" t="n">
        <x:f>0.5*(ABS(H74-E74)+ABS(I74-F74)+ABS(J74-G74))*100</x:f>
        <x:v>8.613829786389708</x:v>
      </x:c>
      <x:c r="L74" s="20" t="n">
        <x:v>24</x:v>
      </x:c>
    </x:row>
    <x:row r="75">
      <x:c r="A75" s="20" t="str">
        <x:v>nnls</x:v>
      </x:c>
      <x:c r="B75" s="20" t="str">
        <x:v>DQ6-TB24-TH12.csv</x:v>
      </x:c>
      <x:c r="C75" s="20" t="n">
        <x:v>4</x:v>
      </x:c>
      <x:c r="D75" s="20" t="str">
        <x:v>ternary</x:v>
      </x:c>
      <x:c r="E75" s="36" t="n">
        <x:v>0.1428571492433548</x:v>
      </x:c>
      <x:c r="F75" s="36" t="n">
        <x:v>0.5714285969734192</x:v>
      </x:c>
      <x:c r="G75" s="36" t="n">
        <x:v>0.2857142984867096</x:v>
      </x:c>
      <x:c r="H75" s="36" t="n">
        <x:v>0.10668255567904995</x:v>
      </x:c>
      <x:c r="I75" s="36" t="n">
        <x:v>0.60356638892151</x:v>
      </x:c>
      <x:c r="J75" s="36" t="n">
        <x:v>0.28975105539843987</x:v>
      </x:c>
      <x:c r="K75" s="23" t="n">
        <x:f>0.5*(ABS(H75-E75)+ABS(I75-F75)+ABS(J75-G75))*100</x:f>
        <x:v>3.6174571212062987</x:v>
      </x:c>
      <x:c r="L75" s="20" t="n">
        <x:v>24</x:v>
      </x:c>
    </x:row>
    <x:row r="76">
      <x:c r="A76" s="20" t="str">
        <x:v>nnls</x:v>
      </x:c>
      <x:c r="B76" s="20" t="str">
        <x:v>DQ6-TB3-TH12.csv</x:v>
      </x:c>
      <x:c r="C76" s="20" t="n">
        <x:v>4</x:v>
      </x:c>
      <x:c r="D76" s="20" t="str">
        <x:v>ternary</x:v>
      </x:c>
      <x:c r="E76" s="36" t="n">
        <x:v>0.2857142984867096</x:v>
      </x:c>
      <x:c r="F76" s="36" t="n">
        <x:v>0.1428571492433548</x:v>
      </x:c>
      <x:c r="G76" s="36" t="n">
        <x:v>0.5714285969734192</x:v>
      </x:c>
      <x:c r="H76" s="36" t="n">
        <x:v>0.35399310690791447</x:v>
      </x:c>
      <x:c r="I76" s="36" t="n">
        <x:v>0.24456797103929917</x:v>
      </x:c>
      <x:c r="J76" s="36" t="n">
        <x:v>0.4014389220517863</x:v>
      </x:c>
      <x:c r="K76" s="23" t="n">
        <x:f>0.5*(ABS(H76-E76)+ABS(I76-F76)+ABS(J76-G76))*100</x:f>
        <x:v>16.99896525693911</x:v>
      </x:c>
      <x:c r="L76" s="20" t="n">
        <x:v>24</x:v>
      </x:c>
    </x:row>
    <x:row r="77">
      <x:c r="A77" s="20" t="str">
        <x:v>nnls</x:v>
      </x:c>
      <x:c r="B77" s="20" t="str">
        <x:v>DQ12-TB12-TH3.csv</x:v>
      </x:c>
      <x:c r="C77" s="20" t="n">
        <x:v>5</x:v>
      </x:c>
      <x:c r="D77" s="20" t="str">
        <x:v>ternary</x:v>
      </x:c>
      <x:c r="E77" s="36" t="n">
        <x:v>0.4444444477558136</x:v>
      </x:c>
      <x:c r="F77" s="36" t="n">
        <x:v>0.4444444477558136</x:v>
      </x:c>
      <x:c r="G77" s="36" t="n">
        <x:v>0.1111111119389534</x:v>
      </x:c>
      <x:c r="H77" s="36" t="n">
        <x:v>0.38394330120757214</x:v>
      </x:c>
      <x:c r="I77" s="36" t="n">
        <x:v>0.511971909950581</x:v>
      </x:c>
      <x:c r="J77" s="36" t="n">
        <x:v>0.10408478884084682</x:v>
      </x:c>
      <x:c r="K77" s="23" t="n">
        <x:f>0.5*(ABS(H77-E77)+ABS(I77-F77)+ABS(J77-G77))*100</x:f>
        <x:v>6.75274659205577</x:v>
      </x:c>
      <x:c r="L77" s="20" t="n">
        <x:v>24</x:v>
      </x:c>
    </x:row>
    <x:row r="78">
      <x:c r="A78" s="20" t="str">
        <x:v>nnls</x:v>
      </x:c>
      <x:c r="B78" s="20" t="str">
        <x:v>DQ12-TB3-TH6.csv</x:v>
      </x:c>
      <x:c r="C78" s="20" t="n">
        <x:v>5</x:v>
      </x:c>
      <x:c r="D78" s="20" t="str">
        <x:v>ternary</x:v>
      </x:c>
      <x:c r="E78" s="36" t="n">
        <x:v>0.5714285969734192</x:v>
      </x:c>
      <x:c r="F78" s="36" t="n">
        <x:v>0.1428571492433548</x:v>
      </x:c>
      <x:c r="G78" s="36" t="n">
        <x:v>0.2857142984867096</x:v>
      </x:c>
      <x:c r="H78" s="36" t="n">
        <x:v>0.3057233636724914</x:v>
      </x:c>
      <x:c r="I78" s="36" t="n">
        <x:v>0.4936849474813556</x:v>
      </x:c>
      <x:c r="J78" s="36" t="n">
        <x:v>0.20059168884515302</x:v>
      </x:c>
      <x:c r="K78" s="23" t="n">
        <x:f>0.5*(ABS(H78-E78)+ABS(I78-F78)+ABS(J78-G78))*100</x:f>
        <x:v>35.08278205902426</x:v>
      </x:c>
      <x:c r="L78" s="20" t="n">
        <x:v>24</x:v>
      </x:c>
    </x:row>
    <x:row r="79">
      <x:c r="A79" s="20" t="str">
        <x:v>nnls</x:v>
      </x:c>
      <x:c r="B79" s="20" t="str">
        <x:v>DQ12-TB6-TH12.csv</x:v>
      </x:c>
      <x:c r="C79" s="20" t="n">
        <x:v>5</x:v>
      </x:c>
      <x:c r="D79" s="20" t="str">
        <x:v>ternary</x:v>
      </x:c>
      <x:c r="E79" s="36" t="n">
        <x:v>0.4000000059604645</x:v>
      </x:c>
      <x:c r="F79" s="36" t="n">
        <x:v>0.20000000298023224</x:v>
      </x:c>
      <x:c r="G79" s="36" t="n">
        <x:v>0.4000000059604645</x:v>
      </x:c>
      <x:c r="H79" s="36" t="n">
        <x:v>0.23969579056884452</x:v>
      </x:c>
      <x:c r="I79" s="36" t="n">
        <x:v>0.3673748903406864</x:v>
      </x:c>
      <x:c r="J79" s="36" t="n">
        <x:v>0.39292931908946915</x:v>
      </x:c>
      <x:c r="K79" s="23" t="n">
        <x:f>0.5*(ABS(H79-E79)+ABS(I79-F79)+ABS(J79-G79))*100</x:f>
        <x:v>16.73748948115347</x:v>
      </x:c>
      <x:c r="L79" s="20" t="n">
        <x:v>24</x:v>
      </x:c>
    </x:row>
    <x:row r="80">
      <x:c r="A80" s="20" t="str">
        <x:v>nnls</x:v>
      </x:c>
      <x:c r="B80" s="20" t="str">
        <x:v>DQ150-TB0-TH50.csv</x:v>
      </x:c>
      <x:c r="C80" s="20" t="n">
        <x:v>5</x:v>
      </x:c>
      <x:c r="D80" s="20" t="str">
        <x:v>binary</x:v>
      </x:c>
      <x:c r="E80" s="36" t="n">
        <x:v>0.75</x:v>
      </x:c>
      <x:c r="F80" s="36" t="n">
        <x:v>0</x:v>
      </x:c>
      <x:c r="G80" s="36" t="n">
        <x:v>0.25</x:v>
      </x:c>
      <x:c r="H80" s="36" t="n">
        <x:v>0.37658059386494175</x:v>
      </x:c>
      <x:c r="I80" s="36" t="n">
        <x:v>0.01250507938157037</x:v>
      </x:c>
      <x:c r="J80" s="36" t="n">
        <x:v>0.6109143267524878</x:v>
      </x:c>
      <x:c r="K80" s="23" t="n">
        <x:f>0.5*(ABS(H80-E80)+ABS(I80-F80)+ABS(J80-G80))*100</x:f>
        <x:v>37.34194061345582</x:v>
      </x:c>
      <x:c r="L80" s="20" t="n">
        <x:v>24</x:v>
      </x:c>
    </x:row>
    <x:row r="81">
      <x:c r="A81" s="20" t="str">
        <x:v>nnls</x:v>
      </x:c>
      <x:c r="B81" s="20" t="str">
        <x:v>DQ24-TB12-TH24.csv</x:v>
      </x:c>
      <x:c r="C81" s="20" t="n">
        <x:v>5</x:v>
      </x:c>
      <x:c r="D81" s="20" t="str">
        <x:v>ternary</x:v>
      </x:c>
      <x:c r="E81" s="36" t="n">
        <x:v>0.4000000059604645</x:v>
      </x:c>
      <x:c r="F81" s="36" t="n">
        <x:v>0.20000000298023224</x:v>
      </x:c>
      <x:c r="G81" s="36" t="n">
        <x:v>0.4000000059604645</x:v>
      </x:c>
      <x:c r="H81" s="36" t="n">
        <x:v>0.34503729338066247</x:v>
      </x:c>
      <x:c r="I81" s="36" t="n">
        <x:v>0.13048835359139088</x:v>
      </x:c>
      <x:c r="J81" s="36" t="n">
        <x:v>0.5244743530269466</x:v>
      </x:c>
      <x:c r="K81" s="23" t="n">
        <x:f>0.5*(ABS(H81-E81)+ABS(I81-F81)+ABS(J81-G81))*100</x:f>
        <x:v>12.447435451756272</x:v>
      </x:c>
      <x:c r="L81" s="20" t="n">
        <x:v>24</x:v>
      </x:c>
    </x:row>
    <x:row r="82">
      <x:c r="A82" s="20" t="str">
        <x:v>nnls</x:v>
      </x:c>
      <x:c r="B82" s="20" t="str">
        <x:v>DQ24-TB24-TH6.csv</x:v>
      </x:c>
      <x:c r="C82" s="20" t="n">
        <x:v>5</x:v>
      </x:c>
      <x:c r="D82" s="20" t="str">
        <x:v>ternary</x:v>
      </x:c>
      <x:c r="E82" s="36" t="n">
        <x:v>0.4444444477558136</x:v>
      </x:c>
      <x:c r="F82" s="36" t="n">
        <x:v>0.4444444477558136</x:v>
      </x:c>
      <x:c r="G82" s="36" t="n">
        <x:v>0.1111111119389534</x:v>
      </x:c>
      <x:c r="H82" s="36" t="n">
        <x:v>0.2732099690331841</x:v>
      </x:c>
      <x:c r="I82" s="36" t="n">
        <x:v>0.4660185541854986</x:v>
      </x:c>
      <x:c r="J82" s="36" t="n">
        <x:v>0.2607714767803175</x:v>
      </x:c>
      <x:c r="K82" s="23" t="n">
        <x:f>0.5*(ABS(H82-E82)+ABS(I82-F82)+ABS(J82-G82))*100</x:f>
        <x:v>17.123447499683927</x:v>
      </x:c>
      <x:c r="L82" s="20" t="n">
        <x:v>24</x:v>
      </x:c>
    </x:row>
    <x:row r="83">
      <x:c r="A83" s="20" t="str">
        <x:v>nnls</x:v>
      </x:c>
      <x:c r="B83" s="20" t="str">
        <x:v>DQ24-TB3-TH24.csv</x:v>
      </x:c>
      <x:c r="C83" s="20" t="n">
        <x:v>5</x:v>
      </x:c>
      <x:c r="D83" s="20" t="str">
        <x:v>ternary</x:v>
      </x:c>
      <x:c r="E83" s="36" t="n">
        <x:v>0.47058823704719543</x:v>
      </x:c>
      <x:c r="F83" s="36" t="n">
        <x:v>0.05882352963089943</x:v>
      </x:c>
      <x:c r="G83" s="36" t="n">
        <x:v>0.47058823704719543</x:v>
      </x:c>
      <x:c r="H83" s="36" t="n">
        <x:v>0.25632726570809267</x:v>
      </x:c>
      <x:c r="I83" s="36" t="n">
        <x:v>0.12366932200198012</x:v>
      </x:c>
      <x:c r="J83" s="36" t="n">
        <x:v>0.6200034122889273</x:v>
      </x:c>
      <x:c r="K83" s="23" t="n">
        <x:f>0.5*(ABS(H83-E83)+ABS(I83-F83)+ABS(J83-G83))*100</x:f>
        <x:v>21.426096947595767</x:v>
      </x:c>
      <x:c r="L83" s="20" t="n">
        <x:v>24</x:v>
      </x:c>
    </x:row>
    <x:row r="84">
      <x:c r="A84" s="20" t="str">
        <x:v>nnls</x:v>
      </x:c>
      <x:c r="B84" s="20" t="str">
        <x:v>DQ24-TB6-TH12.csv</x:v>
      </x:c>
      <x:c r="C84" s="20" t="n">
        <x:v>5</x:v>
      </x:c>
      <x:c r="D84" s="20" t="str">
        <x:v>ternary</x:v>
      </x:c>
      <x:c r="E84" s="36" t="n">
        <x:v>0.5714285969734192</x:v>
      </x:c>
      <x:c r="F84" s="36" t="n">
        <x:v>0.1428571492433548</x:v>
      </x:c>
      <x:c r="G84" s="36" t="n">
        <x:v>0.2857142984867096</x:v>
      </x:c>
      <x:c r="H84" s="36" t="n">
        <x:v>0.5328098308049127</x:v>
      </x:c>
      <x:c r="I84" s="36" t="n">
        <x:v>0.12913973329986864</x:v>
      </x:c>
      <x:c r="J84" s="36" t="n">
        <x:v>0.3380504358942186</x:v>
      </x:c>
      <x:c r="K84" s="23" t="n">
        <x:f>0.5*(ABS(H84-E84)+ABS(I84-F84)+ABS(J84-G84))*100</x:f>
        <x:v>5.233615975975082</x:v>
      </x:c>
      <x:c r="L84" s="20" t="n">
        <x:v>24</x:v>
      </x:c>
    </x:row>
    <x:row r="85">
      <x:c r="A85" s="20" t="str">
        <x:v>nnls</x:v>
      </x:c>
      <x:c r="B85" s="20" t="str">
        <x:v>DQ3-TB24-TH24.csv</x:v>
      </x:c>
      <x:c r="C85" s="20" t="n">
        <x:v>5</x:v>
      </x:c>
      <x:c r="D85" s="20" t="str">
        <x:v>ternary</x:v>
      </x:c>
      <x:c r="E85" s="36" t="n">
        <x:v>0.05882352963089943</x:v>
      </x:c>
      <x:c r="F85" s="36" t="n">
        <x:v>0.47058823704719543</x:v>
      </x:c>
      <x:c r="G85" s="36" t="n">
        <x:v>0.47058823704719543</x:v>
      </x:c>
      <x:c r="H85" s="36" t="n">
        <x:v>0.10542254876106515</x:v>
      </x:c>
      <x:c r="I85" s="36" t="n">
        <x:v>0.37485574234328944</x:v>
      </x:c>
      <x:c r="J85" s="36" t="n">
        <x:v>0.5197217088946452</x:v>
      </x:c>
      <x:c r="K85" s="23" t="n">
        <x:f>0.5*(ABS(H85-E85)+ABS(I85-F85)+ABS(J85-G85))*100</x:f>
        <x:v>9.573249284076073</x:v>
      </x:c>
      <x:c r="L85" s="20" t="n">
        <x:v>24</x:v>
      </x:c>
    </x:row>
    <x:row r="86">
      <x:c r="A86" s="20" t="str">
        <x:v>nnls</x:v>
      </x:c>
      <x:c r="B86" s="20" t="str">
        <x:v>DQ3-TB24-TH6.csv</x:v>
      </x:c>
      <x:c r="C86" s="20" t="n">
        <x:v>5</x:v>
      </x:c>
      <x:c r="D86" s="20" t="str">
        <x:v>ternary</x:v>
      </x:c>
      <x:c r="E86" s="36" t="n">
        <x:v>0.09090909361839294</x:v>
      </x:c>
      <x:c r="F86" s="36" t="n">
        <x:v>0.7272727489471436</x:v>
      </x:c>
      <x:c r="G86" s="36" t="n">
        <x:v>0.1818181872367859</x:v>
      </x:c>
      <x:c r="H86" s="36" t="n">
        <x:v>0.1494303388421135</x:v>
      </x:c>
      <x:c r="I86" s="36" t="n">
        <x:v>0.6020866374926509</x:v>
      </x:c>
      <x:c r="J86" s="36" t="n">
        <x:v>0.24848302366423547</x:v>
      </x:c>
      <x:c r="K86" s="23" t="n">
        <x:f>0.5*(ABS(H86-E86)+ABS(I86-F86)+ABS(J86-G86))*100</x:f>
        <x:v>12.518609655283141</x:v>
      </x:c>
      <x:c r="L86" s="20" t="n">
        <x:v>24</x:v>
      </x:c>
    </x:row>
    <x:row r="87">
      <x:c r="A87" s="20" t="str">
        <x:v>nnls</x:v>
      </x:c>
      <x:c r="B87" s="20" t="str">
        <x:v>DQ3-TB3-TH12.csv</x:v>
      </x:c>
      <x:c r="C87" s="20" t="n">
        <x:v>5</x:v>
      </x:c>
      <x:c r="D87" s="20" t="str">
        <x:v>ternary</x:v>
      </x:c>
      <x:c r="E87" s="36" t="n">
        <x:v>0.1666666716337204</x:v>
      </x:c>
      <x:c r="F87" s="36" t="n">
        <x:v>0.1666666716337204</x:v>
      </x:c>
      <x:c r="G87" s="36" t="n">
        <x:v>0.6666666865348816</x:v>
      </x:c>
      <x:c r="H87" s="36" t="n">
        <x:v>0.26570669441871975</x:v>
      </x:c>
      <x:c r="I87" s="36" t="n">
        <x:v>0.21355613352107916</x:v>
      </x:c>
      <x:c r="J87" s="36" t="n">
        <x:v>0.5207371720592011</x:v>
      </x:c>
      <x:c r="K87" s="23" t="n">
        <x:f>0.5*(ABS(H87-E87)+ABS(I87-F87)+ABS(J87-G87))*100</x:f>
        <x:v>14.59294995740193</x:v>
      </x:c>
      <x:c r="L87" s="20" t="n">
        <x:v>24</x:v>
      </x:c>
    </x:row>
    <x:row r="88">
      <x:c r="A88" s="20" t="str">
        <x:v>nnls</x:v>
      </x:c>
      <x:c r="B88" s="20" t="str">
        <x:v>DQ333-TB33-TH333.csv</x:v>
      </x:c>
      <x:c r="C88" s="20" t="n">
        <x:v>5</x:v>
      </x:c>
      <x:c r="D88" s="20" t="str">
        <x:v>ternary</x:v>
      </x:c>
      <x:c r="E88" s="36" t="n">
        <x:v>0.4763948619365692</x:v>
      </x:c>
      <x:c r="F88" s="36" t="n">
        <x:v>0.04721030220389366</x:v>
      </x:c>
      <x:c r="G88" s="36" t="n">
        <x:v>0.4763948619365692</x:v>
      </x:c>
      <x:c r="H88" s="36" t="n">
        <x:v>0.007804103786606713</x:v>
      </x:c>
      <x:c r="I88" s="36" t="n">
        <x:v>0</x:v>
      </x:c>
      <x:c r="J88" s="36" t="n">
        <x:v>0.992195896212393</x:v>
      </x:c>
      <x:c r="K88" s="23" t="n">
        <x:f>0.5*(ABS(H88-E88)+ABS(I88-F88)+ABS(J88-G88))*100</x:f>
        <x:v>51.580104731484</x:v>
      </x:c>
      <x:c r="L88" s="20" t="n">
        <x:v>24</x:v>
      </x:c>
    </x:row>
    <x:row r="89">
      <x:c r="A89" s="20" t="str">
        <x:v>nnls</x:v>
      </x:c>
      <x:c r="B89" s="20" t="str">
        <x:v>DQ50-TB0-TH500.csv</x:v>
      </x:c>
      <x:c r="C89" s="20" t="n">
        <x:v>5</x:v>
      </x:c>
      <x:c r="D89" s="20" t="str">
        <x:v>binary</x:v>
      </x:c>
      <x:c r="E89" s="36" t="n">
        <x:v>0.09090909361839294</x:v>
      </x:c>
      <x:c r="F89" s="36" t="n">
        <x:v>0</x:v>
      </x:c>
      <x:c r="G89" s="36" t="n">
        <x:v>0.9090909361839294</x:v>
      </x:c>
      <x:c r="H89" s="36" t="n">
        <x:v>0.018234415367744575</x:v>
      </x:c>
      <x:c r="I89" s="36" t="n">
        <x:v>0</x:v>
      </x:c>
      <x:c r="J89" s="36" t="n">
        <x:v>0.9817655846312555</x:v>
      </x:c>
      <x:c r="K89" s="23" t="n">
        <x:f>0.5*(ABS(H89-E89)+ABS(I89-F89)+ABS(J89-G89))*100</x:f>
        <x:v>7.267466334898723</x:v>
      </x:c>
      <x:c r="L89" s="20" t="n">
        <x:v>24</x:v>
      </x:c>
    </x:row>
    <x:row r="90">
      <x:c r="A90" s="20" t="str">
        <x:v>nnls</x:v>
      </x:c>
      <x:c r="B90" s="20" t="str">
        <x:v>DQ50-TB500-TH0.csv</x:v>
      </x:c>
      <x:c r="C90" s="20" t="n">
        <x:v>5</x:v>
      </x:c>
      <x:c r="D90" s="20" t="str">
        <x:v>binary</x:v>
      </x:c>
      <x:c r="E90" s="36" t="n">
        <x:v>0.09090909361839294</x:v>
      </x:c>
      <x:c r="F90" s="36" t="n">
        <x:v>0.9090909361839294</x:v>
      </x:c>
      <x:c r="G90" s="36" t="n">
        <x:v>0</x:v>
      </x:c>
      <x:c r="H90" s="36" t="n">
        <x:v>0.20796150416326972</x:v>
      </x:c>
      <x:c r="I90" s="36" t="n">
        <x:v>0.7461535251507004</x:v>
      </x:c>
      <x:c r="J90" s="36" t="n">
        <x:v>0.04588497068502973</x:v>
      </x:c>
      <x:c r="K90" s="23" t="n">
        <x:f>0.5*(ABS(H90-E90)+ABS(I90-F90)+ABS(J90-G90))*100</x:f>
        <x:v>16.293739613156777</x:v>
      </x:c>
      <x:c r="L90" s="20" t="n">
        <x:v>24</x:v>
      </x:c>
    </x:row>
    <x:row r="91">
      <x:c r="A91" s="20" t="str">
        <x:v>nnls</x:v>
      </x:c>
      <x:c r="B91" s="20" t="str">
        <x:v>DQ6-TB24-TH3.csv</x:v>
      </x:c>
      <x:c r="C91" s="20" t="n">
        <x:v>5</x:v>
      </x:c>
      <x:c r="D91" s="20" t="str">
        <x:v>ternary</x:v>
      </x:c>
      <x:c r="E91" s="36" t="n">
        <x:v>0.1818181872367859</x:v>
      </x:c>
      <x:c r="F91" s="36" t="n">
        <x:v>0.7272727489471436</x:v>
      </x:c>
      <x:c r="G91" s="36" t="n">
        <x:v>0.09090909361839294</x:v>
      </x:c>
      <x:c r="H91" s="36" t="n">
        <x:v>0.30984936682280595</x:v>
      </x:c>
      <x:c r="I91" s="36" t="n">
        <x:v>0.59179532992556</x:v>
      </x:c>
      <x:c r="J91" s="36" t="n">
        <x:v>0.09835530325063406</x:v>
      </x:c>
      <x:c r="K91" s="23" t="n">
        <x:f>0.5*(ABS(H91-E91)+ABS(I91-F91)+ABS(J91-G91))*100</x:f>
        <x:v>13.547740411992235</x:v>
      </x:c>
      <x:c r="L91" s="20" t="n">
        <x:v>24</x:v>
      </x:c>
    </x:row>
    <x:row r="92">
      <x:c r="A92" s="20" t="str">
        <x:v>nnls</x:v>
      </x:c>
      <x:c r="B92" s="20" t="str">
        <x:v>DQ6-TB3-TH6.csv</x:v>
      </x:c>
      <x:c r="C92" s="20" t="n">
        <x:v>5</x:v>
      </x:c>
      <x:c r="D92" s="20" t="str">
        <x:v>ternary</x:v>
      </x:c>
      <x:c r="E92" s="36" t="n">
        <x:v>0.4000000059604645</x:v>
      </x:c>
      <x:c r="F92" s="36" t="n">
        <x:v>0.20000000298023224</x:v>
      </x:c>
      <x:c r="G92" s="36" t="n">
        <x:v>0.4000000059604645</x:v>
      </x:c>
      <x:c r="H92" s="36" t="n">
        <x:v>0.4369030157016314</x:v>
      </x:c>
      <x:c r="I92" s="36" t="n">
        <x:v>0.34490979478013045</x:v>
      </x:c>
      <x:c r="J92" s="36" t="n">
        <x:v>0.21818718951723795</x:v>
      </x:c>
      <x:c r="K92" s="23" t="n">
        <x:f>0.5*(ABS(H92-E92)+ABS(I92-F92)+ABS(J92-G92))*100</x:f>
        <x:v>18.181280899214585</x:v>
      </x:c>
      <x:c r="L92" s="20" t="n">
        <x:v>24</x:v>
      </x:c>
    </x:row>
    <x:row r="93">
      <x:c r="A93" s="20" t="str">
        <x:v>nnls</x:v>
      </x:c>
      <x:c r="B93" s="20" t="str">
        <x:v>DQ6-TB6-TH24.csv</x:v>
      </x:c>
      <x:c r="C93" s="20" t="n">
        <x:v>5</x:v>
      </x:c>
      <x:c r="D93" s="20" t="str">
        <x:v>ternary</x:v>
      </x:c>
      <x:c r="E93" s="36" t="n">
        <x:v>0.1666666716337204</x:v>
      </x:c>
      <x:c r="F93" s="36" t="n">
        <x:v>0.1666666716337204</x:v>
      </x:c>
      <x:c r="G93" s="36" t="n">
        <x:v>0.6666666865348816</x:v>
      </x:c>
      <x:c r="H93" s="36" t="n">
        <x:v>0.23836549092820855</x:v>
      </x:c>
      <x:c r="I93" s="36" t="n">
        <x:v>0.15151397745457534</x:v>
      </x:c>
      <x:c r="J93" s="36" t="n">
        <x:v>0.610120531616216</x:v>
      </x:c>
      <x:c r="K93" s="23" t="n">
        <x:f>0.5*(ABS(H93-E93)+ABS(I93-F93)+ABS(J93-G93))*100</x:f>
        <x:v>7.169883419614938</x:v>
      </x:c>
      <x:c r="L93" s="20" t="n">
        <x:v>24</x:v>
      </x:c>
    </x:row>
    <x:row r="94">
      <x:c r="A94" s="20" t="str">
        <x:v>pls</x:v>
      </x:c>
      <x:c r="B94" s="20" t="str">
        <x:v>DQ0-TB50-TH250.csv</x:v>
      </x:c>
      <x:c r="C94" s="20" t="n">
        <x:v>1</x:v>
      </x:c>
      <x:c r="D94" s="20" t="str">
        <x:v>binary</x:v>
      </x:c>
      <x:c r="E94" s="36" t="n">
        <x:v>0</x:v>
      </x:c>
      <x:c r="F94" s="36" t="n">
        <x:v>0.1666666716337204</x:v>
      </x:c>
      <x:c r="G94" s="36" t="n">
        <x:v>0.8333333134651184</x:v>
      </x:c>
      <x:c r="H94" s="36" t="n">
        <x:v>0.211989768457995</x:v>
      </x:c>
      <x:c r="I94" s="36" t="n">
        <x:v>0.2089227202920848</x:v>
      </x:c>
      <x:c r="J94" s="36" t="n">
        <x:v>0.5790875112489201</x:v>
      </x:c>
      <x:c r="K94" s="23" t="n">
        <x:f>0.5*(ABS(H94-E94)+ABS(I94-F94)+ABS(J94-G94))*100</x:f>
        <x:v>25.424580966627886</x:v>
      </x:c>
      <x:c r="L94" s="20" t="n">
        <x:v>24</x:v>
      </x:c>
    </x:row>
    <x:row r="95">
      <x:c r="A95" s="20" t="str">
        <x:v>pls</x:v>
      </x:c>
      <x:c r="B95" s="20" t="str">
        <x:v>DQ0-TB50-TH500.csv</x:v>
      </x:c>
      <x:c r="C95" s="20" t="n">
        <x:v>1</x:v>
      </x:c>
      <x:c r="D95" s="20" t="str">
        <x:v>binary</x:v>
      </x:c>
      <x:c r="E95" s="36" t="n">
        <x:v>0</x:v>
      </x:c>
      <x:c r="F95" s="36" t="n">
        <x:v>0.09090909361839294</x:v>
      </x:c>
      <x:c r="G95" s="36" t="n">
        <x:v>0.9090909361839294</x:v>
      </x:c>
      <x:c r="H95" s="36" t="n">
        <x:v>0.19973883921453453</x:v>
      </x:c>
      <x:c r="I95" s="36" t="n">
        <x:v>0.11329137596494489</x:v>
      </x:c>
      <x:c r="J95" s="36" t="n">
        <x:v>0.6869697848195228</x:v>
      </x:c>
      <x:c r="K95" s="23" t="n">
        <x:f>0.5*(ABS(H95-E95)+ABS(I95-F95)+ABS(J95-G95))*100</x:f>
        <x:v>22.21211364627466</x:v>
      </x:c>
      <x:c r="L95" s="20" t="n">
        <x:v>24</x:v>
      </x:c>
    </x:row>
    <x:row r="96">
      <x:c r="A96" s="20" t="str">
        <x:v>pls</x:v>
      </x:c>
      <x:c r="B96" s="20" t="str">
        <x:v>DQ0-TB500-TH500.csv</x:v>
      </x:c>
      <x:c r="C96" s="20" t="n">
        <x:v>1</x:v>
      </x:c>
      <x:c r="D96" s="20" t="str">
        <x:v>binary</x:v>
      </x:c>
      <x:c r="E96" s="36" t="n">
        <x:v>0</x:v>
      </x:c>
      <x:c r="F96" s="36" t="n">
        <x:v>0.5</x:v>
      </x:c>
      <x:c r="G96" s="36" t="n">
        <x:v>0.5</x:v>
      </x:c>
      <x:c r="H96" s="36" t="n">
        <x:v>0.18399231520149542</x:v>
      </x:c>
      <x:c r="I96" s="36" t="n">
        <x:v>0.29332880797812605</x:v>
      </x:c>
      <x:c r="J96" s="36" t="n">
        <x:v>0.5226788768193793</x:v>
      </x:c>
      <x:c r="K96" s="23" t="n">
        <x:f>0.5*(ABS(H96-E96)+ABS(I96-F96)+ABS(J96-G96))*100</x:f>
        <x:v>20.667119202137435</x:v>
      </x:c>
      <x:c r="L96" s="20" t="n">
        <x:v>24</x:v>
      </x:c>
    </x:row>
    <x:row r="97">
      <x:c r="A97" s="20" t="str">
        <x:v>pls</x:v>
      </x:c>
      <x:c r="B97" s="20" t="str">
        <x:v>DQ12-TB12-TH12.csv</x:v>
      </x:c>
      <x:c r="C97" s="20" t="n">
        <x:v>1</x:v>
      </x:c>
      <x:c r="D97" s="20" t="str">
        <x:v>ternary</x:v>
      </x:c>
      <x:c r="E97" s="36" t="n">
        <x:v>0.3333333432674408</x:v>
      </x:c>
      <x:c r="F97" s="36" t="n">
        <x:v>0.3333333432674408</x:v>
      </x:c>
      <x:c r="G97" s="36" t="n">
        <x:v>0.3333333432674408</x:v>
      </x:c>
      <x:c r="H97" s="36" t="n">
        <x:v>0.3287146428623173</x:v>
      </x:c>
      <x:c r="I97" s="36" t="n">
        <x:v>0.3570038512473745</x:v>
      </x:c>
      <x:c r="J97" s="36" t="n">
        <x:v>0.3142815058893081</x:v>
      </x:c>
      <x:c r="K97" s="23" t="n">
        <x:f>0.5*(ABS(H97-E97)+ABS(I97-F97)+ABS(J97-G97))*100</x:f>
        <x:v>2.3670522881594964</x:v>
      </x:c>
      <x:c r="L97" s="20" t="n">
        <x:v>24</x:v>
      </x:c>
    </x:row>
    <x:row r="98">
      <x:c r="A98" s="20" t="str">
        <x:v>pls</x:v>
      </x:c>
      <x:c r="B98" s="20" t="str">
        <x:v>DQ12-TB3-TH24.csv</x:v>
      </x:c>
      <x:c r="C98" s="20" t="n">
        <x:v>1</x:v>
      </x:c>
      <x:c r="D98" s="20" t="str">
        <x:v>ternary</x:v>
      </x:c>
      <x:c r="E98" s="36" t="n">
        <x:v>0.3076923191547394</x:v>
      </x:c>
      <x:c r="F98" s="36" t="n">
        <x:v>0.07692307978868484</x:v>
      </x:c>
      <x:c r="G98" s="36" t="n">
        <x:v>0.6153846383094788</x:v>
      </x:c>
      <x:c r="H98" s="36" t="n">
        <x:v>0.4082809613207532</x:v>
      </x:c>
      <x:c r="I98" s="36" t="n">
        <x:v>0.1624288409988408</x:v>
      </x:c>
      <x:c r="J98" s="36" t="n">
        <x:v>0.4292901976794059</x:v>
      </x:c>
      <x:c r="K98" s="23" t="n">
        <x:f>0.5*(ABS(H98-E98)+ABS(I98-F98)+ABS(J98-G98))*100</x:f>
        <x:v>18.60944220031213</x:v>
      </x:c>
      <x:c r="L98" s="20" t="n">
        <x:v>24</x:v>
      </x:c>
    </x:row>
    <x:row r="99">
      <x:c r="A99" s="20" t="str">
        <x:v>pls</x:v>
      </x:c>
      <x:c r="B99" s="20" t="str">
        <x:v>DQ150-TB50-TH0.csv</x:v>
      </x:c>
      <x:c r="C99" s="20" t="n">
        <x:v>1</x:v>
      </x:c>
      <x:c r="D99" s="20" t="str">
        <x:v>binary</x:v>
      </x:c>
      <x:c r="E99" s="36" t="n">
        <x:v>0.75</x:v>
      </x:c>
      <x:c r="F99" s="36" t="n">
        <x:v>0.25</x:v>
      </x:c>
      <x:c r="G99" s="36" t="n">
        <x:v>0</x:v>
      </x:c>
      <x:c r="H99" s="36" t="n">
        <x:v>0.5313675052495667</x:v>
      </x:c>
      <x:c r="I99" s="36" t="n">
        <x:v>0.4173860075158288</x:v>
      </x:c>
      <x:c r="J99" s="36" t="n">
        <x:v>0.05124648723360579</x:v>
      </x:c>
      <x:c r="K99" s="23" t="n">
        <x:f>0.5*(ABS(H99-E99)+ABS(I99-F99)+ABS(J99-G99))*100</x:f>
        <x:v>21.8632494749934</x:v>
      </x:c>
      <x:c r="L99" s="20" t="n">
        <x:v>24</x:v>
      </x:c>
    </x:row>
    <x:row r="100">
      <x:c r="A100" s="20" t="str">
        <x:v>pls</x:v>
      </x:c>
      <x:c r="B100" s="20" t="str">
        <x:v>DQ24-TB24-TH24.csv</x:v>
      </x:c>
      <x:c r="C100" s="20" t="n">
        <x:v>1</x:v>
      </x:c>
      <x:c r="D100" s="20" t="str">
        <x:v>ternary</x:v>
      </x:c>
      <x:c r="E100" s="36" t="n">
        <x:v>0.3333333432674408</x:v>
      </x:c>
      <x:c r="F100" s="36" t="n">
        <x:v>0.3333333432674408</x:v>
      </x:c>
      <x:c r="G100" s="36" t="n">
        <x:v>0.3333333432674408</x:v>
      </x:c>
      <x:c r="H100" s="36" t="n">
        <x:v>0.2740805502253501</x:v>
      </x:c>
      <x:c r="I100" s="36" t="n">
        <x:v>0.42244738870253723</x:v>
      </x:c>
      <x:c r="J100" s="36" t="n">
        <x:v>0.3034720610711126</x:v>
      </x:c>
      <x:c r="K100" s="23" t="n">
        <x:f>0.5*(ABS(H100-E100)+ABS(I100-F100)+ABS(J100-G100))*100</x:f>
        <x:v>8.911406033675767</x:v>
      </x:c>
      <x:c r="L100" s="20" t="n">
        <x:v>24</x:v>
      </x:c>
    </x:row>
    <x:row r="101">
      <x:c r="A101" s="20" t="str">
        <x:v>pls</x:v>
      </x:c>
      <x:c r="B101" s="20" t="str">
        <x:v>DQ250-TB0-TH50.csv</x:v>
      </x:c>
      <x:c r="C101" s="20" t="n">
        <x:v>1</x:v>
      </x:c>
      <x:c r="D101" s="20" t="str">
        <x:v>binary</x:v>
      </x:c>
      <x:c r="E101" s="36" t="n">
        <x:v>0.8333333134651184</x:v>
      </x:c>
      <x:c r="F101" s="36" t="n">
        <x:v>0</x:v>
      </x:c>
      <x:c r="G101" s="36" t="n">
        <x:v>0.1666666716337204</x:v>
      </x:c>
      <x:c r="H101" s="36" t="n">
        <x:v>0.3945084605986378</x:v>
      </x:c>
      <x:c r="I101" s="36" t="n">
        <x:v>0.12741700943675768</x:v>
      </x:c>
      <x:c r="J101" s="36" t="n">
        <x:v>0.4780745299636043</x:v>
      </x:c>
      <x:c r="K101" s="23" t="n">
        <x:f>0.5*(ABS(H101-E101)+ABS(I101-F101)+ABS(J101-G101))*100</x:f>
        <x:v>43.88248603165611</x:v>
      </x:c>
      <x:c r="L101" s="20" t="n">
        <x:v>24</x:v>
      </x:c>
    </x:row>
    <x:row r="102">
      <x:c r="A102" s="20" t="str">
        <x:v>pls</x:v>
      </x:c>
      <x:c r="B102" s="20" t="str">
        <x:v>DQ3-TB12-TH12.csv</x:v>
      </x:c>
      <x:c r="C102" s="20" t="n">
        <x:v>1</x:v>
      </x:c>
      <x:c r="D102" s="20" t="str">
        <x:v>ternary</x:v>
      </x:c>
      <x:c r="E102" s="36" t="n">
        <x:v>0.1111111119389534</x:v>
      </x:c>
      <x:c r="F102" s="36" t="n">
        <x:v>0.4444444477558136</x:v>
      </x:c>
      <x:c r="G102" s="36" t="n">
        <x:v>0.4444444477558136</x:v>
      </x:c>
      <x:c r="H102" s="36" t="n">
        <x:v>0.22584279743831004</x:v>
      </x:c>
      <x:c r="I102" s="36" t="n">
        <x:v>0.33899857468748745</x:v>
      </x:c>
      <x:c r="J102" s="36" t="n">
        <x:v>0.4351586278732024</x:v>
      </x:c>
      <x:c r="K102" s="23" t="n">
        <x:f>0.5*(ABS(H102-E102)+ABS(I102-F102)+ABS(J102-G102))*100</x:f>
        <x:v>11.473168922514699</x:v>
      </x:c>
      <x:c r="L102" s="20" t="n">
        <x:v>24</x:v>
      </x:c>
    </x:row>
    <x:row r="103">
      <x:c r="A103" s="20" t="str">
        <x:v>pls</x:v>
      </x:c>
      <x:c r="B103" s="20" t="str">
        <x:v>DQ3-TB12-TH3.csv</x:v>
      </x:c>
      <x:c r="C103" s="20" t="n">
        <x:v>1</x:v>
      </x:c>
      <x:c r="D103" s="20" t="str">
        <x:v>ternary</x:v>
      </x:c>
      <x:c r="E103" s="36" t="n">
        <x:v>0.1666666716337204</x:v>
      </x:c>
      <x:c r="F103" s="36" t="n">
        <x:v>0.6666666865348816</x:v>
      </x:c>
      <x:c r="G103" s="36" t="n">
        <x:v>0.1666666716337204</x:v>
      </x:c>
      <x:c r="H103" s="36" t="n">
        <x:v>0.18247468384998797</x:v>
      </x:c>
      <x:c r="I103" s="36" t="n">
        <x:v>0.5073729696846897</x:v>
      </x:c>
      <x:c r="J103" s="36" t="n">
        <x:v>0.3101523464643222</x:v>
      </x:c>
      <x:c r="K103" s="23" t="n">
        <x:f>0.5*(ABS(H103-E103)+ABS(I103-F103)+ABS(J103-G103))*100</x:f>
        <x:v>15.929370194853066</x:v>
      </x:c>
      <x:c r="L103" s="20" t="n">
        <x:v>24</x:v>
      </x:c>
    </x:row>
    <x:row r="104">
      <x:c r="A104" s="20" t="str">
        <x:v>pls</x:v>
      </x:c>
      <x:c r="B104" s="20" t="str">
        <x:v>DQ3-TB3-TH3.csv</x:v>
      </x:c>
      <x:c r="C104" s="20" t="n">
        <x:v>1</x:v>
      </x:c>
      <x:c r="D104" s="20" t="str">
        <x:v>ternary</x:v>
      </x:c>
      <x:c r="E104" s="36" t="n">
        <x:v>0.3333333432674408</x:v>
      </x:c>
      <x:c r="F104" s="36" t="n">
        <x:v>0.3333333432674408</x:v>
      </x:c>
      <x:c r="G104" s="36" t="n">
        <x:v>0.3333333432674408</x:v>
      </x:c>
      <x:c r="H104" s="36" t="n">
        <x:v>0.3119676894035945</x:v>
      </x:c>
      <x:c r="I104" s="36" t="n">
        <x:v>0.4096338328342673</x:v>
      </x:c>
      <x:c r="J104" s="36" t="n">
        <x:v>0.278398477761138</x:v>
      </x:c>
      <x:c r="K104" s="23" t="n">
        <x:f>0.5*(ABS(H104-E104)+ABS(I104-F104)+ABS(J104-G104))*100</x:f>
        <x:v>7.630050446848779</x:v>
      </x:c>
      <x:c r="L104" s="20" t="n">
        <x:v>24</x:v>
      </x:c>
    </x:row>
    <x:row r="105">
      <x:c r="A105" s="20" t="str">
        <x:v>pls</x:v>
      </x:c>
      <x:c r="B105" s="20" t="str">
        <x:v>DQ333-TB333-TH333.csv</x:v>
      </x:c>
      <x:c r="C105" s="20" t="n">
        <x:v>1</x:v>
      </x:c>
      <x:c r="D105" s="20" t="str">
        <x:v>ternary</x:v>
      </x:c>
      <x:c r="E105" s="36" t="n">
        <x:v>0.3333333432674408</x:v>
      </x:c>
      <x:c r="F105" s="36" t="n">
        <x:v>0.3333333432674408</x:v>
      </x:c>
      <x:c r="G105" s="36" t="n">
        <x:v>0.3333333432674408</x:v>
      </x:c>
      <x:c r="H105" s="36" t="n">
        <x:v>0.3034728356891103</x:v>
      </x:c>
      <x:c r="I105" s="36" t="n">
        <x:v>0.13648030261451205</x:v>
      </x:c>
      <x:c r="J105" s="36" t="n">
        <x:v>0.5600468616953775</x:v>
      </x:c>
      <x:c r="K105" s="23" t="n">
        <x:f>0.5*(ABS(H105-E105)+ABS(I105-F105)+ABS(J105-G105))*100</x:f>
        <x:v>22.671353332959796</x:v>
      </x:c>
      <x:c r="L105" s="20" t="n">
        <x:v>24</x:v>
      </x:c>
    </x:row>
    <x:row r="106">
      <x:c r="A106" s="20" t="str">
        <x:v>pls</x:v>
      </x:c>
      <x:c r="B106" s="20" t="str">
        <x:v>DQ50-TB0-TH250.csv</x:v>
      </x:c>
      <x:c r="C106" s="20" t="n">
        <x:v>1</x:v>
      </x:c>
      <x:c r="D106" s="20" t="str">
        <x:v>binary</x:v>
      </x:c>
      <x:c r="E106" s="36" t="n">
        <x:v>0.1666666716337204</x:v>
      </x:c>
      <x:c r="F106" s="36" t="n">
        <x:v>0</x:v>
      </x:c>
      <x:c r="G106" s="36" t="n">
        <x:v>0.8333333134651184</x:v>
      </x:c>
      <x:c r="H106" s="36" t="n">
        <x:v>0.20336576617938726</x:v>
      </x:c>
      <x:c r="I106" s="36" t="n">
        <x:v>0.1625457344847756</x:v>
      </x:c>
      <x:c r="J106" s="36" t="n">
        <x:v>0.6340884993348369</x:v>
      </x:c>
      <x:c r="K106" s="23" t="n">
        <x:f>0.5*(ABS(H106-E106)+ABS(I106-F106)+ABS(J106-G106))*100</x:f>
        <x:v>19.9244821580362</x:v>
      </x:c>
      <x:c r="L106" s="20" t="n">
        <x:v>24</x:v>
      </x:c>
    </x:row>
    <x:row r="107">
      <x:c r="A107" s="20" t="str">
        <x:v>pls</x:v>
      </x:c>
      <x:c r="B107" s="20" t="str">
        <x:v>DQ500-TB50-TH0.csv</x:v>
      </x:c>
      <x:c r="C107" s="20" t="n">
        <x:v>1</x:v>
      </x:c>
      <x:c r="D107" s="20" t="str">
        <x:v>binary</x:v>
      </x:c>
      <x:c r="E107" s="36" t="n">
        <x:v>0.9090909361839294</x:v>
      </x:c>
      <x:c r="F107" s="36" t="n">
        <x:v>0.09090909361839294</x:v>
      </x:c>
      <x:c r="G107" s="36" t="n">
        <x:v>0</x:v>
      </x:c>
      <x:c r="H107" s="36" t="n">
        <x:v>0.47528008039612923</x:v>
      </x:c>
      <x:c r="I107" s="36" t="n">
        <x:v>0.5155510995571043</x:v>
      </x:c>
      <x:c r="J107" s="36" t="n">
        <x:v>0.009168820045786237</x:v>
      </x:c>
      <x:c r="K107" s="23" t="n">
        <x:f>0.5*(ABS(H107-E107)+ABS(I107-F107)+ABS(J107-G107))*100</x:f>
        <x:v>43.38108408861489</x:v>
      </x:c>
      <x:c r="L107" s="20" t="n">
        <x:v>24</x:v>
      </x:c>
    </x:row>
    <x:row r="108">
      <x:c r="A108" s="20" t="str">
        <x:v>pls</x:v>
      </x:c>
      <x:c r="B108" s="20" t="str">
        <x:v>DQ6-TB24-TH24.csv</x:v>
      </x:c>
      <x:c r="C108" s="20" t="n">
        <x:v>1</x:v>
      </x:c>
      <x:c r="D108" s="20" t="str">
        <x:v>ternary</x:v>
      </x:c>
      <x:c r="E108" s="36" t="n">
        <x:v>0.1111111119389534</x:v>
      </x:c>
      <x:c r="F108" s="36" t="n">
        <x:v>0.4444444477558136</x:v>
      </x:c>
      <x:c r="G108" s="36" t="n">
        <x:v>0.4444444477558136</x:v>
      </x:c>
      <x:c r="H108" s="36" t="n">
        <x:v>0.1102429274643837</x:v>
      </x:c>
      <x:c r="I108" s="36" t="n">
        <x:v>0.41288878120703904</x:v>
      </x:c>
      <x:c r="J108" s="36" t="n">
        <x:v>0.47686829132757763</x:v>
      </x:c>
      <x:c r="K108" s="23" t="n">
        <x:f>0.5*(ABS(H108-E108)+ABS(I108-F108)+ABS(J108-G108))*100</x:f>
        <x:v>3.2423847297554147</x:v>
      </x:c>
      <x:c r="L108" s="20" t="n">
        <x:v>24</x:v>
      </x:c>
    </x:row>
    <x:row r="109">
      <x:c r="A109" s="20" t="str">
        <x:v>pls</x:v>
      </x:c>
      <x:c r="B109" s="20" t="str">
        <x:v>DQ6-TB24-TH6.csv</x:v>
      </x:c>
      <x:c r="C109" s="20" t="n">
        <x:v>1</x:v>
      </x:c>
      <x:c r="D109" s="20" t="str">
        <x:v>ternary</x:v>
      </x:c>
      <x:c r="E109" s="36" t="n">
        <x:v>0.1666666716337204</x:v>
      </x:c>
      <x:c r="F109" s="36" t="n">
        <x:v>0.6666666865348816</x:v>
      </x:c>
      <x:c r="G109" s="36" t="n">
        <x:v>0.1666666716337204</x:v>
      </x:c>
      <x:c r="H109" s="36" t="n">
        <x:v>0.2672570361452581</x:v>
      </x:c>
      <x:c r="I109" s="36" t="n">
        <x:v>0.5535352979635654</x:v>
      </x:c>
      <x:c r="J109" s="36" t="n">
        <x:v>0.17920766589017645</x:v>
      </x:c>
      <x:c r="K109" s="23" t="n">
        <x:f>0.5*(ABS(H109-E109)+ABS(I109-F109)+ABS(J109-G109))*100</x:f>
        <x:v>11.313137366965497</x:v>
      </x:c>
      <x:c r="L109" s="20" t="n">
        <x:v>24</x:v>
      </x:c>
    </x:row>
    <x:row r="110">
      <x:c r="A110" s="20" t="str">
        <x:v>pls</x:v>
      </x:c>
      <x:c r="B110" s="20" t="str">
        <x:v>DQ6-TB3-TH24.csv</x:v>
      </x:c>
      <x:c r="C110" s="20" t="n">
        <x:v>1</x:v>
      </x:c>
      <x:c r="D110" s="20" t="str">
        <x:v>ternary</x:v>
      </x:c>
      <x:c r="E110" s="36" t="n">
        <x:v>0.1818181872367859</x:v>
      </x:c>
      <x:c r="F110" s="36" t="n">
        <x:v>0.09090909361839294</x:v>
      </x:c>
      <x:c r="G110" s="36" t="n">
        <x:v>0.7272727489471436</x:v>
      </x:c>
      <x:c r="H110" s="36" t="n">
        <x:v>0.2731702643199609</x:v>
      </x:c>
      <x:c r="I110" s="36" t="n">
        <x:v>0.11163464579221656</x:v>
      </x:c>
      <x:c r="J110" s="36" t="n">
        <x:v>0.6151950898868224</x:v>
      </x:c>
      <x:c r="K110" s="23" t="n">
        <x:f>0.5*(ABS(H110-E110)+ABS(I110-F110)+ABS(J110-G110))*100</x:f>
        <x:v>11.20776441586599</x:v>
      </x:c>
      <x:c r="L110" s="20" t="n">
        <x:v>24</x:v>
      </x:c>
    </x:row>
    <x:row r="111">
      <x:c r="A111" s="20" t="str">
        <x:v>pls</x:v>
      </x:c>
      <x:c r="B111" s="20" t="str">
        <x:v>DQ6-TB6-TH6.csv</x:v>
      </x:c>
      <x:c r="C111" s="20" t="n">
        <x:v>1</x:v>
      </x:c>
      <x:c r="D111" s="20" t="str">
        <x:v>ternary</x:v>
      </x:c>
      <x:c r="E111" s="36" t="n">
        <x:v>0.3333333432674408</x:v>
      </x:c>
      <x:c r="F111" s="36" t="n">
        <x:v>0.3333333432674408</x:v>
      </x:c>
      <x:c r="G111" s="36" t="n">
        <x:v>0.3333333432674408</x:v>
      </x:c>
      <x:c r="H111" s="36" t="n">
        <x:v>0.38513518367214666</x:v>
      </x:c>
      <x:c r="I111" s="36" t="n">
        <x:v>0.3412574493202954</x:v>
      </x:c>
      <x:c r="J111" s="36" t="n">
        <x:v>0.27360736700655797</x:v>
      </x:c>
      <x:c r="K111" s="23" t="n">
        <x:f>0.5*(ABS(H111-E111)+ABS(I111-F111)+ABS(J111-G111))*100</x:f>
        <x:v>5.972596135922164</x:v>
      </x:c>
      <x:c r="L111" s="20" t="n">
        <x:v>24</x:v>
      </x:c>
    </x:row>
    <x:row r="112">
      <x:c r="A112" s="20" t="str">
        <x:v>pls</x:v>
      </x:c>
      <x:c r="B112" s="20" t="str">
        <x:v>DQ0-TB250-TH50.csv</x:v>
      </x:c>
      <x:c r="C112" s="20" t="n">
        <x:v>2</x:v>
      </x:c>
      <x:c r="D112" s="20" t="str">
        <x:v>binary</x:v>
      </x:c>
      <x:c r="E112" s="36" t="n">
        <x:v>0</x:v>
      </x:c>
      <x:c r="F112" s="36" t="n">
        <x:v>0.8333333134651184</x:v>
      </x:c>
      <x:c r="G112" s="36" t="n">
        <x:v>0.1666666716337204</x:v>
      </x:c>
      <x:c r="H112" s="36" t="n">
        <x:v>0.21731511803360115</x:v>
      </x:c>
      <x:c r="I112" s="36" t="n">
        <x:v>0.38386221929512976</x:v>
      </x:c>
      <x:c r="J112" s="36" t="n">
        <x:v>0.3988226626702689</x:v>
      </x:c>
      <x:c r="K112" s="23" t="n">
        <x:f>0.5*(ABS(H112-E112)+ABS(I112-F112)+ABS(J112-G112))*100</x:f>
        <x:v>44.947110162006915</x:v>
      </x:c>
      <x:c r="L112" s="20" t="n">
        <x:v>24</x:v>
      </x:c>
    </x:row>
    <x:row r="113">
      <x:c r="A113" s="20" t="str">
        <x:v>pls</x:v>
      </x:c>
      <x:c r="B113" s="20" t="str">
        <x:v>DQ0-TB500-TH50.csv</x:v>
      </x:c>
      <x:c r="C113" s="20" t="n">
        <x:v>2</x:v>
      </x:c>
      <x:c r="D113" s="20" t="str">
        <x:v>binary</x:v>
      </x:c>
      <x:c r="E113" s="36" t="n">
        <x:v>0</x:v>
      </x:c>
      <x:c r="F113" s="36" t="n">
        <x:v>0.9090909361839294</x:v>
      </x:c>
      <x:c r="G113" s="36" t="n">
        <x:v>0.09090909361839294</x:v>
      </x:c>
      <x:c r="H113" s="36" t="n">
        <x:v>0.05608530057102512</x:v>
      </x:c>
      <x:c r="I113" s="36" t="n">
        <x:v>0.7840411890839222</x:v>
      </x:c>
      <x:c r="J113" s="36" t="n">
        <x:v>0.159873510344067</x:v>
      </x:c>
      <x:c r="K113" s="23" t="n">
        <x:f>0.5*(ABS(H113-E113)+ABS(I113-F113)+ABS(J113-G113))*100</x:f>
        <x:v>12.504973219835321</x:v>
      </x:c>
      <x:c r="L113" s="20" t="n">
        <x:v>24</x:v>
      </x:c>
    </x:row>
    <x:row r="114">
      <x:c r="A114" s="20" t="str">
        <x:v>pls</x:v>
      </x:c>
      <x:c r="B114" s="20" t="str">
        <x:v>DQ12-TB12-TH24.csv</x:v>
      </x:c>
      <x:c r="C114" s="20" t="n">
        <x:v>2</x:v>
      </x:c>
      <x:c r="D114" s="20" t="str">
        <x:v>ternary</x:v>
      </x:c>
      <x:c r="E114" s="36" t="n">
        <x:v>0.25</x:v>
      </x:c>
      <x:c r="F114" s="36" t="n">
        <x:v>0.25</x:v>
      </x:c>
      <x:c r="G114" s="36" t="n">
        <x:v>0.5</x:v>
      </x:c>
      <x:c r="H114" s="36" t="n">
        <x:v>0.31493203969517297</x:v>
      </x:c>
      <x:c r="I114" s="36" t="n">
        <x:v>0.2748378902264474</x:v>
      </x:c>
      <x:c r="J114" s="36" t="n">
        <x:v>0.4102300700773795</x:v>
      </x:c>
      <x:c r="K114" s="23" t="n">
        <x:f>0.5*(ABS(H114-E114)+ABS(I114-F114)+ABS(J114-G114))*100</x:f>
        <x:v>8.976992992212043</x:v>
      </x:c>
      <x:c r="L114" s="20" t="n">
        <x:v>24</x:v>
      </x:c>
    </x:row>
    <x:row r="115">
      <x:c r="A115" s="20" t="str">
        <x:v>pls</x:v>
      </x:c>
      <x:c r="B115" s="20" t="str">
        <x:v>DQ12-TB24-TH6.csv</x:v>
      </x:c>
      <x:c r="C115" s="20" t="n">
        <x:v>2</x:v>
      </x:c>
      <x:c r="D115" s="20" t="str">
        <x:v>ternary</x:v>
      </x:c>
      <x:c r="E115" s="36" t="n">
        <x:v>0.2857142984867096</x:v>
      </x:c>
      <x:c r="F115" s="36" t="n">
        <x:v>0.5714285969734192</x:v>
      </x:c>
      <x:c r="G115" s="36" t="n">
        <x:v>0.1428571492433548</x:v>
      </x:c>
      <x:c r="H115" s="36" t="n">
        <x:v>0.29187888237866216</x:v>
      </x:c>
      <x:c r="I115" s="36" t="n">
        <x:v>0.6028619517930557</x:v>
      </x:c>
      <x:c r="J115" s="36" t="n">
        <x:v>0.10525916582728208</x:v>
      </x:c>
      <x:c r="K115" s="23" t="n">
        <x:f>0.5*(ABS(H115-E115)+ABS(I115-F115)+ABS(J115-G115))*100</x:f>
        <x:v>3.759796106383089</x:v>
      </x:c>
      <x:c r="L115" s="20" t="n">
        <x:v>24</x:v>
      </x:c>
    </x:row>
    <x:row r="116">
      <x:c r="A116" s="20" t="str">
        <x:v>pls</x:v>
      </x:c>
      <x:c r="B116" s="20" t="str">
        <x:v>DQ12-TB3-TH3.csv</x:v>
      </x:c>
      <x:c r="C116" s="20" t="n">
        <x:v>2</x:v>
      </x:c>
      <x:c r="D116" s="20" t="str">
        <x:v>ternary</x:v>
      </x:c>
      <x:c r="E116" s="36" t="n">
        <x:v>0.6666666865348816</x:v>
      </x:c>
      <x:c r="F116" s="36" t="n">
        <x:v>0.1666666716337204</x:v>
      </x:c>
      <x:c r="G116" s="36" t="n">
        <x:v>0.1666666716337204</x:v>
      </x:c>
      <x:c r="H116" s="36" t="n">
        <x:v>0.47862292735158984</x:v>
      </x:c>
      <x:c r="I116" s="36" t="n">
        <x:v>0.21692797729322003</x:v>
      </x:c>
      <x:c r="J116" s="36" t="n">
        <x:v>0.3044490953541901</x:v>
      </x:c>
      <x:c r="K116" s="23" t="n">
        <x:f>0.5*(ABS(H116-E116)+ABS(I116-F116)+ABS(J116-G116))*100</x:f>
        <x:v>18.804374428163058</x:v>
      </x:c>
      <x:c r="L116" s="20" t="n">
        <x:v>24</x:v>
      </x:c>
    </x:row>
    <x:row r="117">
      <x:c r="A117" s="20" t="str">
        <x:v>pls</x:v>
      </x:c>
      <x:c r="B117" s="20" t="str">
        <x:v>DQ12-TB6-TH6.csv</x:v>
      </x:c>
      <x:c r="C117" s="20" t="n">
        <x:v>2</x:v>
      </x:c>
      <x:c r="D117" s="20" t="str">
        <x:v>ternary</x:v>
      </x:c>
      <x:c r="E117" s="36" t="n">
        <x:v>0.5</x:v>
      </x:c>
      <x:c r="F117" s="36" t="n">
        <x:v>0.25</x:v>
      </x:c>
      <x:c r="G117" s="36" t="n">
        <x:v>0.25</x:v>
      </x:c>
      <x:c r="H117" s="36" t="n">
        <x:v>0.4730990802889939</x:v>
      </x:c>
      <x:c r="I117" s="36" t="n">
        <x:v>0.2514417802486935</x:v>
      </x:c>
      <x:c r="J117" s="36" t="n">
        <x:v>0.27545913946131245</x:v>
      </x:c>
      <x:c r="K117" s="23" t="n">
        <x:f>0.5*(ABS(H117-E117)+ABS(I117-F117)+ABS(J117-G117))*100</x:f>
        <x:v>2.6900919710506037</x:v>
      </x:c>
      <x:c r="L117" s="20" t="n">
        <x:v>24</x:v>
      </x:c>
    </x:row>
    <x:row r="118">
      <x:c r="A118" s="20" t="str">
        <x:v>pls</x:v>
      </x:c>
      <x:c r="B118" s="20" t="str">
        <x:v>DQ24-TB12-TH12.csv</x:v>
      </x:c>
      <x:c r="C118" s="20" t="n">
        <x:v>2</x:v>
      </x:c>
      <x:c r="D118" s="20" t="str">
        <x:v>ternary</x:v>
      </x:c>
      <x:c r="E118" s="36" t="n">
        <x:v>0.5</x:v>
      </x:c>
      <x:c r="F118" s="36" t="n">
        <x:v>0.25</x:v>
      </x:c>
      <x:c r="G118" s="36" t="n">
        <x:v>0.25</x:v>
      </x:c>
      <x:c r="H118" s="36" t="n">
        <x:v>0.47512061550189433</x:v>
      </x:c>
      <x:c r="I118" s="36" t="n">
        <x:v>0.15885515334056124</x:v>
      </x:c>
      <x:c r="J118" s="36" t="n">
        <x:v>0.3660242311565443</x:v>
      </x:c>
      <x:c r="K118" s="23" t="n">
        <x:f>0.5*(ABS(H118-E118)+ABS(I118-F118)+ABS(J118-G118))*100</x:f>
        <x:v>11.602423115704436</x:v>
      </x:c>
      <x:c r="L118" s="20" t="n">
        <x:v>24</x:v>
      </x:c>
    </x:row>
    <x:row r="119">
      <x:c r="A119" s="20" t="str">
        <x:v>pls</x:v>
      </x:c>
      <x:c r="B119" s="20" t="str">
        <x:v>DQ24-TB12-TH3.csv</x:v>
      </x:c>
      <x:c r="C119" s="20" t="n">
        <x:v>2</x:v>
      </x:c>
      <x:c r="D119" s="20" t="str">
        <x:v>ternary</x:v>
      </x:c>
      <x:c r="E119" s="36" t="n">
        <x:v>0.6153846383094788</x:v>
      </x:c>
      <x:c r="F119" s="36" t="n">
        <x:v>0.3076923191547394</x:v>
      </x:c>
      <x:c r="G119" s="36" t="n">
        <x:v>0.07692307978868484</x:v>
      </x:c>
      <x:c r="H119" s="36" t="n">
        <x:v>0.5705794957049469</x:v>
      </x:c>
      <x:c r="I119" s="36" t="n">
        <x:v>0.31985621354625876</x:v>
      </x:c>
      <x:c r="J119" s="36" t="n">
        <x:v>0.10956429074779427</x:v>
      </x:c>
      <x:c r="K119" s="23" t="n">
        <x:f>0.5*(ABS(H119-E119)+ABS(I119-F119)+ABS(J119-G119))*100</x:f>
        <x:v>4.480512397758032</x:v>
      </x:c>
      <x:c r="L119" s="20" t="n">
        <x:v>24</x:v>
      </x:c>
    </x:row>
    <x:row r="120">
      <x:c r="A120" s="20" t="str">
        <x:v>pls</x:v>
      </x:c>
      <x:c r="B120" s="20" t="str">
        <x:v>DQ24-TB6-TH6.csv</x:v>
      </x:c>
      <x:c r="C120" s="20" t="n">
        <x:v>2</x:v>
      </x:c>
      <x:c r="D120" s="20" t="str">
        <x:v>ternary</x:v>
      </x:c>
      <x:c r="E120" s="36" t="n">
        <x:v>0.6666666865348816</x:v>
      </x:c>
      <x:c r="F120" s="36" t="n">
        <x:v>0.1666666716337204</x:v>
      </x:c>
      <x:c r="G120" s="36" t="n">
        <x:v>0.1666666716337204</x:v>
      </x:c>
      <x:c r="H120" s="36" t="n">
        <x:v>0.4533885731049247</x:v>
      </x:c>
      <x:c r="I120" s="36" t="n">
        <x:v>0.24225238888594103</x:v>
      </x:c>
      <x:c r="J120" s="36" t="n">
        <x:v>0.30435903800813435</x:v>
      </x:c>
      <x:c r="K120" s="23" t="n">
        <x:f>0.5*(ABS(H120-E120)+ABS(I120-F120)+ABS(J120-G120))*100</x:f>
        <x:v>21.327809852829574</x:v>
      </x:c>
      <x:c r="L120" s="20" t="n">
        <x:v>24</x:v>
      </x:c>
    </x:row>
    <x:row r="121">
      <x:c r="A121" s="20" t="str">
        <x:v>pls</x:v>
      </x:c>
      <x:c r="B121" s="20" t="str">
        <x:v>DQ3-TB24-TH3.csv</x:v>
      </x:c>
      <x:c r="C121" s="20" t="n">
        <x:v>2</x:v>
      </x:c>
      <x:c r="D121" s="20" t="str">
        <x:v>ternary</x:v>
      </x:c>
      <x:c r="E121" s="36" t="n">
        <x:v>0.10000000149011612</x:v>
      </x:c>
      <x:c r="F121" s="36" t="n">
        <x:v>0.800000011920929</x:v>
      </x:c>
      <x:c r="G121" s="36" t="n">
        <x:v>0.10000000149011612</x:v>
      </x:c>
      <x:c r="H121" s="36" t="n">
        <x:v>0.20730436066303112</x:v>
      </x:c>
      <x:c r="I121" s="36" t="n">
        <x:v>0.5225525548434786</x:v>
      </x:c>
      <x:c r="J121" s="36" t="n">
        <x:v>0.27014308449249014</x:v>
      </x:c>
      <x:c r="K121" s="23" t="n">
        <x:f>0.5*(ABS(H121-E121)+ABS(I121-F121)+ABS(J121-G121))*100</x:f>
        <x:v>27.744744962636968</x:v>
      </x:c>
      <x:c r="L121" s="20" t="n">
        <x:v>24</x:v>
      </x:c>
    </x:row>
    <x:row r="122">
      <x:c r="A122" s="20" t="str">
        <x:v>pls</x:v>
      </x:c>
      <x:c r="B122" s="20" t="str">
        <x:v>DQ3-TB3-TH24.csv</x:v>
      </x:c>
      <x:c r="C122" s="20" t="n">
        <x:v>2</x:v>
      </x:c>
      <x:c r="D122" s="20" t="str">
        <x:v>ternary</x:v>
      </x:c>
      <x:c r="E122" s="36" t="n">
        <x:v>0.10000000149011612</x:v>
      </x:c>
      <x:c r="F122" s="36" t="n">
        <x:v>0.10000000149011612</x:v>
      </x:c>
      <x:c r="G122" s="36" t="n">
        <x:v>0.800000011920929</x:v>
      </x:c>
      <x:c r="H122" s="36" t="n">
        <x:v>0.0858384908599919</x:v>
      </x:c>
      <x:c r="I122" s="36" t="n">
        <x:v>0.2434953100109306</x:v>
      </x:c>
      <x:c r="J122" s="36" t="n">
        <x:v>0.6706661991280787</x:v>
      </x:c>
      <x:c r="K122" s="23" t="n">
        <x:f>0.5*(ABS(H122-E122)+ABS(I122-F122)+ABS(J122-G122))*100</x:f>
        <x:v>14.349531597189449</x:v>
      </x:c>
      <x:c r="L122" s="20" t="n">
        <x:v>24</x:v>
      </x:c>
    </x:row>
    <x:row r="123">
      <x:c r="A123" s="20" t="str">
        <x:v>pls</x:v>
      </x:c>
      <x:c r="B123" s="20" t="str">
        <x:v>DQ3-TB3-TH6.csv</x:v>
      </x:c>
      <x:c r="C123" s="20" t="n">
        <x:v>2</x:v>
      </x:c>
      <x:c r="D123" s="20" t="str">
        <x:v>ternary</x:v>
      </x:c>
      <x:c r="E123" s="36" t="n">
        <x:v>0.25</x:v>
      </x:c>
      <x:c r="F123" s="36" t="n">
        <x:v>0.25</x:v>
      </x:c>
      <x:c r="G123" s="36" t="n">
        <x:v>0.5</x:v>
      </x:c>
      <x:c r="H123" s="36" t="n">
        <x:v>0.225672536320921</x:v>
      </x:c>
      <x:c r="I123" s="36" t="n">
        <x:v>0.3401893812145309</x:v>
      </x:c>
      <x:c r="J123" s="36" t="n">
        <x:v>0.43413808246354807</x:v>
      </x:c>
      <x:c r="K123" s="23" t="n">
        <x:f>0.5*(ABS(H123-E123)+ABS(I123-F123)+ABS(J123-G123))*100</x:f>
        <x:v>9.018938121503092</x:v>
      </x:c>
      <x:c r="L123" s="20" t="n">
        <x:v>24</x:v>
      </x:c>
    </x:row>
    <x:row r="124">
      <x:c r="A124" s="20" t="str">
        <x:v>pls</x:v>
      </x:c>
      <x:c r="B124" s="20" t="str">
        <x:v>DQ333-TB333-TH33.csv</x:v>
      </x:c>
      <x:c r="C124" s="20" t="n">
        <x:v>2</x:v>
      </x:c>
      <x:c r="D124" s="20" t="str">
        <x:v>ternary</x:v>
      </x:c>
      <x:c r="E124" s="36" t="n">
        <x:v>0.4763948619365692</x:v>
      </x:c>
      <x:c r="F124" s="36" t="n">
        <x:v>0.4763948619365692</x:v>
      </x:c>
      <x:c r="G124" s="36" t="n">
        <x:v>0.04721030220389366</x:v>
      </x:c>
      <x:c r="H124" s="36" t="n">
        <x:v>0.5857295091108555</x:v>
      </x:c>
      <x:c r="I124" s="36" t="n">
        <x:v>0.21139001535029137</x:v>
      </x:c>
      <x:c r="J124" s="36" t="n">
        <x:v>0.2028804755378529</x:v>
      </x:c>
      <x:c r="K124" s="23" t="n">
        <x:f>0.5*(ABS(H124-E124)+ABS(I124-F124)+ABS(J124-G124))*100</x:f>
        <x:v>26.500483354726175</x:v>
      </x:c>
      <x:c r="L124" s="20" t="n">
        <x:v>24</x:v>
      </x:c>
    </x:row>
    <x:row r="125">
      <x:c r="A125" s="20" t="str">
        <x:v>pls</x:v>
      </x:c>
      <x:c r="B125" s="20" t="str">
        <x:v>DQ50-TB150-TH0.csv</x:v>
      </x:c>
      <x:c r="C125" s="20" t="n">
        <x:v>2</x:v>
      </x:c>
      <x:c r="D125" s="20" t="str">
        <x:v>binary</x:v>
      </x:c>
      <x:c r="E125" s="36" t="n">
        <x:v>0.25</x:v>
      </x:c>
      <x:c r="F125" s="36" t="n">
        <x:v>0.75</x:v>
      </x:c>
      <x:c r="G125" s="36" t="n">
        <x:v>0</x:v>
      </x:c>
      <x:c r="H125" s="36" t="n">
        <x:v>0.5364645593479511</x:v>
      </x:c>
      <x:c r="I125" s="36" t="n">
        <x:v>0.36991841610887427</x:v>
      </x:c>
      <x:c r="J125" s="36" t="n">
        <x:v>0.09361702454217506</x:v>
      </x:c>
      <x:c r="K125" s="23" t="n">
        <x:f>0.5*(ABS(H125-E125)+ABS(I125-F125)+ABS(J125-G125))*100</x:f>
        <x:v>38.008158389062594</x:v>
      </x:c>
      <x:c r="L125" s="20" t="n">
        <x:v>24</x:v>
      </x:c>
    </x:row>
    <x:row r="126">
      <x:c r="A126" s="20" t="str">
        <x:v>pls</x:v>
      </x:c>
      <x:c r="B126" s="20" t="str">
        <x:v>DQ500-TB0-TH500.csv</x:v>
      </x:c>
      <x:c r="C126" s="20" t="n">
        <x:v>2</x:v>
      </x:c>
      <x:c r="D126" s="20" t="str">
        <x:v>binary</x:v>
      </x:c>
      <x:c r="E126" s="36" t="n">
        <x:v>0.5</x:v>
      </x:c>
      <x:c r="F126" s="36" t="n">
        <x:v>0</x:v>
      </x:c>
      <x:c r="G126" s="36" t="n">
        <x:v>0.5</x:v>
      </x:c>
      <x:c r="H126" s="36" t="n">
        <x:v>0.37129982552560187</x:v>
      </x:c>
      <x:c r="I126" s="36" t="n">
        <x:v>0.16521257220010502</x:v>
      </x:c>
      <x:c r="J126" s="36" t="n">
        <x:v>0.463487602273293</x:v>
      </x:c>
      <x:c r="K126" s="23" t="n">
        <x:f>0.5*(ABS(H126-E126)+ABS(I126-F126)+ABS(J126-G126))*100</x:f>
        <x:v>16.52125722006051</x:v>
      </x:c>
      <x:c r="L126" s="20" t="n">
        <x:v>24</x:v>
      </x:c>
    </x:row>
    <x:row r="127">
      <x:c r="A127" s="20" t="str">
        <x:v>pls</x:v>
      </x:c>
      <x:c r="B127" s="20" t="str">
        <x:v>DQ6-TB12-TH3.csv</x:v>
      </x:c>
      <x:c r="C127" s="20" t="n">
        <x:v>2</x:v>
      </x:c>
      <x:c r="D127" s="20" t="str">
        <x:v>ternary</x:v>
      </x:c>
      <x:c r="E127" s="36" t="n">
        <x:v>0.2857142984867096</x:v>
      </x:c>
      <x:c r="F127" s="36" t="n">
        <x:v>0.5714285969734192</x:v>
      </x:c>
      <x:c r="G127" s="36" t="n">
        <x:v>0.1428571492433548</x:v>
      </x:c>
      <x:c r="H127" s="36" t="n">
        <x:v>0.2871457068897331</x:v>
      </x:c>
      <x:c r="I127" s="36" t="n">
        <x:v>0.37834263467369694</x:v>
      </x:c>
      <x:c r="J127" s="36" t="n">
        <x:v>0.3345116584355698</x:v>
      </x:c>
      <x:c r="K127" s="23" t="n">
        <x:f>0.5*(ABS(H127-E127)+ABS(I127-F127)+ABS(J127-G127))*100</x:f>
        <x:v>19.308593994748037</x:v>
      </x:c>
      <x:c r="L127" s="20" t="n">
        <x:v>24</x:v>
      </x:c>
    </x:row>
    <x:row r="128">
      <x:c r="A128" s="20" t="str">
        <x:v>pls</x:v>
      </x:c>
      <x:c r="B128" s="20" t="str">
        <x:v>DQ6-TB3-TH3.csv</x:v>
      </x:c>
      <x:c r="C128" s="20" t="n">
        <x:v>2</x:v>
      </x:c>
      <x:c r="D128" s="20" t="str">
        <x:v>ternary</x:v>
      </x:c>
      <x:c r="E128" s="36" t="n">
        <x:v>0.5</x:v>
      </x:c>
      <x:c r="F128" s="36" t="n">
        <x:v>0.25</x:v>
      </x:c>
      <x:c r="G128" s="36" t="n">
        <x:v>0.25</x:v>
      </x:c>
      <x:c r="H128" s="36" t="n">
        <x:v>0.39363056573746463</x:v>
      </x:c>
      <x:c r="I128" s="36" t="n">
        <x:v>0.21245261101297638</x:v>
      </x:c>
      <x:c r="J128" s="36" t="n">
        <x:v>0.393916823248559</x:v>
      </x:c>
      <x:c r="K128" s="23" t="n">
        <x:f>0.5*(ABS(H128-E128)+ABS(I128-F128)+ABS(J128-G128))*100</x:f>
        <x:v>14.391682324905897</x:v>
      </x:c>
      <x:c r="L128" s="20" t="n">
        <x:v>24</x:v>
      </x:c>
    </x:row>
    <x:row r="129">
      <x:c r="A129" s="20" t="str">
        <x:v>pls</x:v>
      </x:c>
      <x:c r="B129" s="20" t="str">
        <x:v>DQ6-TB6-TH12.csv</x:v>
      </x:c>
      <x:c r="C129" s="20" t="n">
        <x:v>2</x:v>
      </x:c>
      <x:c r="D129" s="20" t="str">
        <x:v>ternary</x:v>
      </x:c>
      <x:c r="E129" s="36" t="n">
        <x:v>0.25</x:v>
      </x:c>
      <x:c r="F129" s="36" t="n">
        <x:v>0.25</x:v>
      </x:c>
      <x:c r="G129" s="36" t="n">
        <x:v>0.5</x:v>
      </x:c>
      <x:c r="H129" s="36" t="n">
        <x:v>0.2376735767637835</x:v>
      </x:c>
      <x:c r="I129" s="36" t="n">
        <x:v>0.30771715248335496</x:v>
      </x:c>
      <x:c r="J129" s="36" t="n">
        <x:v>0.4546092707518616</x:v>
      </x:c>
      <x:c r="K129" s="23" t="n">
        <x:f>0.5*(ABS(H129-E129)+ABS(I129-F129)+ABS(J129-G129))*100</x:f>
        <x:v>5.771715248385494</x:v>
      </x:c>
      <x:c r="L129" s="20" t="n">
        <x:v>24</x:v>
      </x:c>
    </x:row>
    <x:row r="130">
      <x:c r="A130" s="20" t="str">
        <x:v>pls</x:v>
      </x:c>
      <x:c r="B130" s="20" t="str">
        <x:v>DQ12-TB12-TH6.csv</x:v>
      </x:c>
      <x:c r="C130" s="20" t="n">
        <x:v>3</x:v>
      </x:c>
      <x:c r="D130" s="20" t="str">
        <x:v>ternary</x:v>
      </x:c>
      <x:c r="E130" s="36" t="n">
        <x:v>0.4000000059604645</x:v>
      </x:c>
      <x:c r="F130" s="36" t="n">
        <x:v>0.4000000059604645</x:v>
      </x:c>
      <x:c r="G130" s="36" t="n">
        <x:v>0.20000000298023224</x:v>
      </x:c>
      <x:c r="H130" s="36" t="n">
        <x:v>0.4127691476496104</x:v>
      </x:c>
      <x:c r="I130" s="36" t="n">
        <x:v>0.3644655142380546</x:v>
      </x:c>
      <x:c r="J130" s="36" t="n">
        <x:v>0.22276533811133484</x:v>
      </x:c>
      <x:c r="K130" s="23" t="n">
        <x:f>0.5*(ABS(H130-E130)+ABS(I130-F130)+ABS(J130-G130))*100</x:f>
        <x:v>3.55344842713292</x:v>
      </x:c>
      <x:c r="L130" s="20" t="n">
        <x:v>24</x:v>
      </x:c>
    </x:row>
    <x:row r="131">
      <x:c r="A131" s="20" t="str">
        <x:v>pls</x:v>
      </x:c>
      <x:c r="B131" s="20" t="str">
        <x:v>DQ12-TB24-TH24.csv</x:v>
      </x:c>
      <x:c r="C131" s="20" t="n">
        <x:v>3</x:v>
      </x:c>
      <x:c r="D131" s="20" t="str">
        <x:v>ternary</x:v>
      </x:c>
      <x:c r="E131" s="36" t="n">
        <x:v>0.20000000298023224</x:v>
      </x:c>
      <x:c r="F131" s="36" t="n">
        <x:v>0.4000000059604645</x:v>
      </x:c>
      <x:c r="G131" s="36" t="n">
        <x:v>0.4000000059604645</x:v>
      </x:c>
      <x:c r="H131" s="36" t="n">
        <x:v>0.2466211798180131</x:v>
      </x:c>
      <x:c r="I131" s="36" t="n">
        <x:v>0.5049720984172535</x:v>
      </x:c>
      <x:c r="J131" s="36" t="n">
        <x:v>0.24840672176373332</x:v>
      </x:c>
      <x:c r="K131" s="23" t="n">
        <x:f>0.5*(ABS(H131-E131)+ABS(I131-F131)+ABS(J131-G131))*100</x:f>
        <x:v>15.159327674565054</x:v>
      </x:c>
      <x:c r="L131" s="20" t="n">
        <x:v>24</x:v>
      </x:c>
    </x:row>
    <x:row r="132">
      <x:c r="A132" s="20" t="str">
        <x:v>pls</x:v>
      </x:c>
      <x:c r="B132" s="20" t="str">
        <x:v>DQ12-TB24-TH3.csv</x:v>
      </x:c>
      <x:c r="C132" s="20" t="n">
        <x:v>3</x:v>
      </x:c>
      <x:c r="D132" s="20" t="str">
        <x:v>ternary</x:v>
      </x:c>
      <x:c r="E132" s="36" t="n">
        <x:v>0.3076923191547394</x:v>
      </x:c>
      <x:c r="F132" s="36" t="n">
        <x:v>0.6153846383094788</x:v>
      </x:c>
      <x:c r="G132" s="36" t="n">
        <x:v>0.07692307978868484</x:v>
      </x:c>
      <x:c r="H132" s="36" t="n">
        <x:v>0.4018764744721021</x:v>
      </x:c>
      <x:c r="I132" s="36" t="n">
        <x:v>0.4728355552530234</x:v>
      </x:c>
      <x:c r="J132" s="36" t="n">
        <x:v>0.12528797027387442</x:v>
      </x:c>
      <x:c r="K132" s="23" t="n">
        <x:f>0.5*(ABS(H132-E132)+ABS(I132-F132)+ABS(J132-G132))*100</x:f>
        <x:v>14.254906442950382</x:v>
      </x:c>
      <x:c r="L132" s="20" t="n">
        <x:v>24</x:v>
      </x:c>
    </x:row>
    <x:row r="133">
      <x:c r="A133" s="20" t="str">
        <x:v>pls</x:v>
      </x:c>
      <x:c r="B133" s="20" t="str">
        <x:v>DQ12-TB3-TH12.csv</x:v>
      </x:c>
      <x:c r="C133" s="20" t="n">
        <x:v>3</x:v>
      </x:c>
      <x:c r="D133" s="20" t="str">
        <x:v>ternary</x:v>
      </x:c>
      <x:c r="E133" s="36" t="n">
        <x:v>0.4444444477558136</x:v>
      </x:c>
      <x:c r="F133" s="36" t="n">
        <x:v>0.1111111119389534</x:v>
      </x:c>
      <x:c r="G133" s="36" t="n">
        <x:v>0.4444444477558136</x:v>
      </x:c>
      <x:c r="H133" s="36" t="n">
        <x:v>0.4642539266677383</x:v>
      </x:c>
      <x:c r="I133" s="36" t="n">
        <x:v>0.16151179372745542</x:v>
      </x:c>
      <x:c r="J133" s="36" t="n">
        <x:v>0.37423427960380634</x:v>
      </x:c>
      <x:c r="K133" s="23" t="n">
        <x:f>0.5*(ABS(H133-E133)+ABS(I133-F133)+ABS(J133-G133))*100</x:f>
        <x:v>7.021016442621699</x:v>
      </x:c>
      <x:c r="L133" s="20" t="n">
        <x:v>24</x:v>
      </x:c>
    </x:row>
    <x:row r="134">
      <x:c r="A134" s="20" t="str">
        <x:v>pls</x:v>
      </x:c>
      <x:c r="B134" s="20" t="str">
        <x:v>DQ12-TB6-TH3.csv</x:v>
      </x:c>
      <x:c r="C134" s="20" t="n">
        <x:v>3</x:v>
      </x:c>
      <x:c r="D134" s="20" t="str">
        <x:v>ternary</x:v>
      </x:c>
      <x:c r="E134" s="36" t="n">
        <x:v>0.5714285969734192</x:v>
      </x:c>
      <x:c r="F134" s="36" t="n">
        <x:v>0.2857142984867096</x:v>
      </x:c>
      <x:c r="G134" s="36" t="n">
        <x:v>0.1428571492433548</x:v>
      </x:c>
      <x:c r="H134" s="36" t="n">
        <x:v>0.4888565535344353</x:v>
      </x:c>
      <x:c r="I134" s="36" t="n">
        <x:v>0.29491727100313603</x:v>
      </x:c>
      <x:c r="J134" s="36" t="n">
        <x:v>0.21622617546142864</x:v>
      </x:c>
      <x:c r="K134" s="23" t="n">
        <x:f>0.5*(ABS(H134-E134)+ABS(I134-F134)+ABS(J134-G134))*100</x:f>
        <x:v>8.257202108674209</x:v>
      </x:c>
      <x:c r="L134" s="20" t="n">
        <x:v>24</x:v>
      </x:c>
    </x:row>
    <x:row r="135">
      <x:c r="A135" s="20" t="str">
        <x:v>pls</x:v>
      </x:c>
      <x:c r="B135" s="20" t="str">
        <x:v>DQ24-TB12-TH6.csv</x:v>
      </x:c>
      <x:c r="C135" s="20" t="n">
        <x:v>3</x:v>
      </x:c>
      <x:c r="D135" s="20" t="str">
        <x:v>ternary</x:v>
      </x:c>
      <x:c r="E135" s="36" t="n">
        <x:v>0.5714285969734192</x:v>
      </x:c>
      <x:c r="F135" s="36" t="n">
        <x:v>0.2857142984867096</x:v>
      </x:c>
      <x:c r="G135" s="36" t="n">
        <x:v>0.1428571492433548</x:v>
      </x:c>
      <x:c r="H135" s="36" t="n">
        <x:v>0.5704836682365028</x:v>
      </x:c>
      <x:c r="I135" s="36" t="n">
        <x:v>0.2941120699831036</x:v>
      </x:c>
      <x:c r="J135" s="36" t="n">
        <x:v>0.13540426177939396</x:v>
      </x:c>
      <x:c r="K135" s="23" t="n">
        <x:f>0.5*(ABS(H135-E135)+ABS(I135-F135)+ABS(J135-G135))*100</x:f>
        <x:v>0.8397793848635621</x:v>
      </x:c>
      <x:c r="L135" s="20" t="n">
        <x:v>24</x:v>
      </x:c>
    </x:row>
    <x:row r="136">
      <x:c r="A136" s="20" t="str">
        <x:v>pls</x:v>
      </x:c>
      <x:c r="B136" s="20" t="str">
        <x:v>DQ24-TB24-TH12.csv</x:v>
      </x:c>
      <x:c r="C136" s="20" t="n">
        <x:v>3</x:v>
      </x:c>
      <x:c r="D136" s="20" t="str">
        <x:v>ternary</x:v>
      </x:c>
      <x:c r="E136" s="36" t="n">
        <x:v>0.4000000059604645</x:v>
      </x:c>
      <x:c r="F136" s="36" t="n">
        <x:v>0.4000000059604645</x:v>
      </x:c>
      <x:c r="G136" s="36" t="n">
        <x:v>0.20000000298023224</x:v>
      </x:c>
      <x:c r="H136" s="36" t="n">
        <x:v>0.38001490368915775</x:v>
      </x:c>
      <x:c r="I136" s="36" t="n">
        <x:v>0.29711767593068156</x:v>
      </x:c>
      <x:c r="J136" s="36" t="n">
        <x:v>0.3228674203791605</x:v>
      </x:c>
      <x:c r="K136" s="23" t="n">
        <x:f>0.5*(ABS(H136-E136)+ABS(I136-F136)+ABS(J136-G136))*100</x:f>
        <x:v>12.286742485000895</x:v>
      </x:c>
      <x:c r="L136" s="20" t="n">
        <x:v>24</x:v>
      </x:c>
    </x:row>
    <x:row r="137">
      <x:c r="A137" s="20" t="str">
        <x:v>pls</x:v>
      </x:c>
      <x:c r="B137" s="20" t="str">
        <x:v>DQ24-TB24-TH3.csv</x:v>
      </x:c>
      <x:c r="C137" s="20" t="n">
        <x:v>3</x:v>
      </x:c>
      <x:c r="D137" s="20" t="str">
        <x:v>ternary</x:v>
      </x:c>
      <x:c r="E137" s="36" t="n">
        <x:v>0.47058823704719543</x:v>
      </x:c>
      <x:c r="F137" s="36" t="n">
        <x:v>0.47058823704719543</x:v>
      </x:c>
      <x:c r="G137" s="36" t="n">
        <x:v>0.05882352963089943</x:v>
      </x:c>
      <x:c r="H137" s="36" t="n">
        <x:v>0.42772847102072414</x:v>
      </x:c>
      <x:c r="I137" s="36" t="n">
        <x:v>0.5202816660869828</x:v>
      </x:c>
      <x:c r="J137" s="36" t="n">
        <x:v>0.051989862891307116</x:v>
      </x:c>
      <x:c r="K137" s="23" t="n">
        <x:f>0.5*(ABS(H137-E137)+ABS(I137-F137)+ABS(J137-G137))*100</x:f>
        <x:v>4.969343090292548</x:v>
      </x:c>
      <x:c r="L137" s="20" t="n">
        <x:v>24</x:v>
      </x:c>
    </x:row>
    <x:row r="138">
      <x:c r="A138" s="20" t="str">
        <x:v>pls</x:v>
      </x:c>
      <x:c r="B138" s="20" t="str">
        <x:v>DQ24-TB6-TH24.csv</x:v>
      </x:c>
      <x:c r="C138" s="20" t="n">
        <x:v>3</x:v>
      </x:c>
      <x:c r="D138" s="20" t="str">
        <x:v>ternary</x:v>
      </x:c>
      <x:c r="E138" s="36" t="n">
        <x:v>0.4444444477558136</x:v>
      </x:c>
      <x:c r="F138" s="36" t="n">
        <x:v>0.1111111119389534</x:v>
      </x:c>
      <x:c r="G138" s="36" t="n">
        <x:v>0.4444444477558136</x:v>
      </x:c>
      <x:c r="H138" s="36" t="n">
        <x:v>0.415953988715902</x:v>
      </x:c>
      <x:c r="I138" s="36" t="n">
        <x:v>0.13936659719141442</x:v>
      </x:c>
      <x:c r="J138" s="36" t="n">
        <x:v>0.44467941409168366</x:v>
      </x:c>
      <x:c r="K138" s="23" t="n">
        <x:f>0.5*(ABS(H138-E138)+ABS(I138-F138)+ABS(J138-G138))*100</x:f>
        <x:v>2.8490455314121337</x:v>
      </x:c>
      <x:c r="L138" s="20" t="n">
        <x:v>24</x:v>
      </x:c>
    </x:row>
    <x:row r="139">
      <x:c r="A139" s="20" t="str">
        <x:v>pls</x:v>
      </x:c>
      <x:c r="B139" s="20" t="str">
        <x:v>DQ250-TB50-TH0.csv</x:v>
      </x:c>
      <x:c r="C139" s="20" t="n">
        <x:v>3</x:v>
      </x:c>
      <x:c r="D139" s="20" t="str">
        <x:v>binary</x:v>
      </x:c>
      <x:c r="E139" s="36" t="n">
        <x:v>0.8333333134651184</x:v>
      </x:c>
      <x:c r="F139" s="36" t="n">
        <x:v>0.1666666716337204</x:v>
      </x:c>
      <x:c r="G139" s="36" t="n">
        <x:v>0</x:v>
      </x:c>
      <x:c r="H139" s="36" t="n">
        <x:v>0.40015550153060575</x:v>
      </x:c>
      <x:c r="I139" s="36" t="n">
        <x:v>0.5410736219395395</x:v>
      </x:c>
      <x:c r="J139" s="36" t="n">
        <x:v>0.0587708765288573</x:v>
      </x:c>
      <x:c r="K139" s="23" t="n">
        <x:f>0.5*(ABS(H139-E139)+ABS(I139-F139)+ABS(J139-G139))*100</x:f>
        <x:v>43.31778193845945</x:v>
      </x:c>
      <x:c r="L139" s="20" t="n">
        <x:v>24</x:v>
      </x:c>
    </x:row>
    <x:row r="140">
      <x:c r="A140" s="20" t="str">
        <x:v>pls</x:v>
      </x:c>
      <x:c r="B140" s="20" t="str">
        <x:v>DQ3-TB12-TH24.csv</x:v>
      </x:c>
      <x:c r="C140" s="20" t="n">
        <x:v>3</x:v>
      </x:c>
      <x:c r="D140" s="20" t="str">
        <x:v>ternary</x:v>
      </x:c>
      <x:c r="E140" s="36" t="n">
        <x:v>0.07692307978868484</x:v>
      </x:c>
      <x:c r="F140" s="36" t="n">
        <x:v>0.3076923191547394</x:v>
      </x:c>
      <x:c r="G140" s="36" t="n">
        <x:v>0.6153846383094788</x:v>
      </x:c>
      <x:c r="H140" s="36" t="n">
        <x:v>0.14039416381546047</x:v>
      </x:c>
      <x:c r="I140" s="36" t="n">
        <x:v>0.3221258073165612</x:v>
      </x:c>
      <x:c r="J140" s="36" t="n">
        <x:v>0.5374800288669782</x:v>
      </x:c>
      <x:c r="K140" s="23" t="n">
        <x:f>0.5*(ABS(H140-E140)+ABS(I140-F140)+ABS(J140-G140))*100</x:f>
        <x:v>7.7904590815549</x:v>
      </x:c>
      <x:c r="L140" s="20" t="n">
        <x:v>24</x:v>
      </x:c>
    </x:row>
    <x:row r="141">
      <x:c r="A141" s="20" t="str">
        <x:v>pls</x:v>
      </x:c>
      <x:c r="B141" s="20" t="str">
        <x:v>DQ3-TB6-TH6.csv</x:v>
      </x:c>
      <x:c r="C141" s="20" t="n">
        <x:v>3</x:v>
      </x:c>
      <x:c r="D141" s="20" t="str">
        <x:v>ternary</x:v>
      </x:c>
      <x:c r="E141" s="36" t="n">
        <x:v>0.20000000298023224</x:v>
      </x:c>
      <x:c r="F141" s="36" t="n">
        <x:v>0.4000000059604645</x:v>
      </x:c>
      <x:c r="G141" s="36" t="n">
        <x:v>0.4000000059604645</x:v>
      </x:c>
      <x:c r="H141" s="36" t="n">
        <x:v>0.2166201912204567</x:v>
      </x:c>
      <x:c r="I141" s="36" t="n">
        <x:v>0.3488389053807521</x:v>
      </x:c>
      <x:c r="J141" s="36" t="n">
        <x:v>0.4345409033977912</x:v>
      </x:c>
      <x:c r="K141" s="23" t="n">
        <x:f>0.5*(ABS(H141-E141)+ABS(I141-F141)+ABS(J141-G141))*100</x:f>
        <x:v>5.1161093128631805</x:v>
      </x:c>
      <x:c r="L141" s="20" t="n">
        <x:v>24</x:v>
      </x:c>
    </x:row>
    <x:row r="142">
      <x:c r="A142" s="20" t="str">
        <x:v>pls</x:v>
      </x:c>
      <x:c r="B142" s="20" t="str">
        <x:v>DQ50-TB0-TH150.csv</x:v>
      </x:c>
      <x:c r="C142" s="20" t="n">
        <x:v>3</x:v>
      </x:c>
      <x:c r="D142" s="20" t="str">
        <x:v>binary</x:v>
      </x:c>
      <x:c r="E142" s="36" t="n">
        <x:v>0.25</x:v>
      </x:c>
      <x:c r="F142" s="36" t="n">
        <x:v>0</x:v>
      </x:c>
      <x:c r="G142" s="36" t="n">
        <x:v>0.75</x:v>
      </x:c>
      <x:c r="H142" s="36" t="n">
        <x:v>0.24784194120026773</x:v>
      </x:c>
      <x:c r="I142" s="36" t="n">
        <x:v>0.1156135386619044</x:v>
      </x:c>
      <x:c r="J142" s="36" t="n">
        <x:v>0.6365445201368277</x:v>
      </x:c>
      <x:c r="K142" s="23" t="n">
        <x:f>0.5*(ABS(H142-E142)+ABS(I142-F142)+ABS(J142-G142))*100</x:f>
        <x:v>11.561353866240449</x:v>
      </x:c>
      <x:c r="L142" s="20" t="n">
        <x:v>24</x:v>
      </x:c>
    </x:row>
    <x:row r="143">
      <x:c r="A143" s="20" t="str">
        <x:v>pls</x:v>
      </x:c>
      <x:c r="B143" s="20" t="str">
        <x:v>DQ50-TB250-TH0.csv</x:v>
      </x:c>
      <x:c r="C143" s="20" t="n">
        <x:v>3</x:v>
      </x:c>
      <x:c r="D143" s="20" t="str">
        <x:v>binary</x:v>
      </x:c>
      <x:c r="E143" s="36" t="n">
        <x:v>0.1666666716337204</x:v>
      </x:c>
      <x:c r="F143" s="36" t="n">
        <x:v>0.8333333134651184</x:v>
      </x:c>
      <x:c r="G143" s="36" t="n">
        <x:v>0</x:v>
      </x:c>
      <x:c r="H143" s="36" t="n">
        <x:v>0.024028971545293806</x:v>
      </x:c>
      <x:c r="I143" s="36" t="n">
        <x:v>0.8017890263989943</x:v>
      </x:c>
      <x:c r="J143" s="36" t="n">
        <x:v>0.174182002054738</x:v>
      </x:c>
      <x:c r="K143" s="23" t="n">
        <x:f>0.5*(ABS(H143-E143)+ABS(I143-F143)+ABS(J143-G143))*100</x:f>
        <x:v>17.418199460464436</x:v>
      </x:c>
      <x:c r="L143" s="20" t="n">
        <x:v>24</x:v>
      </x:c>
    </x:row>
    <x:row r="144">
      <x:c r="A144" s="20" t="str">
        <x:v>pls</x:v>
      </x:c>
      <x:c r="B144" s="20" t="str">
        <x:v>DQ500-TB0-TH50.csv</x:v>
      </x:c>
      <x:c r="C144" s="20" t="n">
        <x:v>3</x:v>
      </x:c>
      <x:c r="D144" s="20" t="str">
        <x:v>binary</x:v>
      </x:c>
      <x:c r="E144" s="36" t="n">
        <x:v>0.9090909361839294</x:v>
      </x:c>
      <x:c r="F144" s="36" t="n">
        <x:v>0</x:v>
      </x:c>
      <x:c r="G144" s="36" t="n">
        <x:v>0.09090909361839294</x:v>
      </x:c>
      <x:c r="H144" s="36" t="n">
        <x:v>0.8451037120865271</x:v>
      </x:c>
      <x:c r="I144" s="36" t="n">
        <x:v>0.05190570876125188</x:v>
      </x:c>
      <x:c r="J144" s="36" t="n">
        <x:v>0.10299057915123062</x:v>
      </x:c>
      <x:c r="K144" s="23" t="n">
        <x:f>0.5*(ABS(H144-E144)+ABS(I144-F144)+ABS(J144-G144))*100</x:f>
        <x:v>6.398720919574593</x:v>
      </x:c>
      <x:c r="L144" s="20" t="n">
        <x:v>24</x:v>
      </x:c>
    </x:row>
    <x:row r="145">
      <x:c r="A145" s="20" t="str">
        <x:v>pls</x:v>
      </x:c>
      <x:c r="B145" s="20" t="str">
        <x:v>DQ500-TB500-TH0.csv</x:v>
      </x:c>
      <x:c r="C145" s="20" t="n">
        <x:v>3</x:v>
      </x:c>
      <x:c r="D145" s="20" t="str">
        <x:v>binary</x:v>
      </x:c>
      <x:c r="E145" s="36" t="n">
        <x:v>0.5</x:v>
      </x:c>
      <x:c r="F145" s="36" t="n">
        <x:v>0.5</x:v>
      </x:c>
      <x:c r="G145" s="36" t="n">
        <x:v>0</x:v>
      </x:c>
      <x:c r="H145" s="36" t="n">
        <x:v>0.5510686066007698</x:v>
      </x:c>
      <x:c r="I145" s="36" t="n">
        <x:v>0.3524598987817915</x:v>
      </x:c>
      <x:c r="J145" s="36" t="n">
        <x:v>0.09647149461643907</x:v>
      </x:c>
      <x:c r="K145" s="23" t="n">
        <x:f>0.5*(ABS(H145-E145)+ABS(I145-F145)+ABS(J145-G145))*100</x:f>
        <x:v>14.75401012177087</x:v>
      </x:c>
      <x:c r="L145" s="20" t="n">
        <x:v>24</x:v>
      </x:c>
    </x:row>
    <x:row r="146">
      <x:c r="A146" s="20" t="str">
        <x:v>pls</x:v>
      </x:c>
      <x:c r="B146" s="20" t="str">
        <x:v>DQ6-TB12-TH12.csv</x:v>
      </x:c>
      <x:c r="C146" s="20" t="n">
        <x:v>3</x:v>
      </x:c>
      <x:c r="D146" s="20" t="str">
        <x:v>ternary</x:v>
      </x:c>
      <x:c r="E146" s="36" t="n">
        <x:v>0.20000000298023224</x:v>
      </x:c>
      <x:c r="F146" s="36" t="n">
        <x:v>0.4000000059604645</x:v>
      </x:c>
      <x:c r="G146" s="36" t="n">
        <x:v>0.4000000059604645</x:v>
      </x:c>
      <x:c r="H146" s="36" t="n">
        <x:v>0.13928415855257664</x:v>
      </x:c>
      <x:c r="I146" s="36" t="n">
        <x:v>0.4547677320574112</x:v>
      </x:c>
      <x:c r="J146" s="36" t="n">
        <x:v>0.40594810938901205</x:v>
      </x:c>
      <x:c r="K146" s="23" t="n">
        <x:f>0.5*(ABS(H146-E146)+ABS(I146-F146)+ABS(J146-G146))*100</x:f>
        <x:v>6.071583697657496</x:v>
      </x:c>
      <x:c r="L146" s="20" t="n">
        <x:v>24</x:v>
      </x:c>
    </x:row>
    <x:row r="147">
      <x:c r="A147" s="20" t="str">
        <x:v>pls</x:v>
      </x:c>
      <x:c r="B147" s="20" t="str">
        <x:v>DQ6-TB6-TH3.csv</x:v>
      </x:c>
      <x:c r="C147" s="20" t="n">
        <x:v>3</x:v>
      </x:c>
      <x:c r="D147" s="20" t="str">
        <x:v>ternary</x:v>
      </x:c>
      <x:c r="E147" s="36" t="n">
        <x:v>0.4000000059604645</x:v>
      </x:c>
      <x:c r="F147" s="36" t="n">
        <x:v>0.4000000059604645</x:v>
      </x:c>
      <x:c r="G147" s="36" t="n">
        <x:v>0.20000000298023224</x:v>
      </x:c>
      <x:c r="H147" s="36" t="n">
        <x:v>0.41705091429317415</x:v>
      </x:c>
      <x:c r="I147" s="36" t="n">
        <x:v>0.28981815063901156</x:v>
      </x:c>
      <x:c r="J147" s="36" t="n">
        <x:v>0.29313093506681426</x:v>
      </x:c>
      <x:c r="K147" s="23" t="n">
        <x:f>0.5*(ABS(H147-E147)+ABS(I147-F147)+ABS(J147-G147))*100</x:f>
        <x:v>11.01818478703723</x:v>
      </x:c>
      <x:c r="L147" s="20" t="n">
        <x:v>24</x:v>
      </x:c>
    </x:row>
    <x:row r="148">
      <x:c r="A148" s="20" t="str">
        <x:v>pls</x:v>
      </x:c>
      <x:c r="B148" s="20" t="str">
        <x:v>DQ0-TB150-TH50.csv</x:v>
      </x:c>
      <x:c r="C148" s="20" t="n">
        <x:v>4</x:v>
      </x:c>
      <x:c r="D148" s="20" t="str">
        <x:v>binary</x:v>
      </x:c>
      <x:c r="E148" s="36" t="n">
        <x:v>0</x:v>
      </x:c>
      <x:c r="F148" s="36" t="n">
        <x:v>0.75</x:v>
      </x:c>
      <x:c r="G148" s="36" t="n">
        <x:v>0.25</x:v>
      </x:c>
      <x:c r="H148" s="36" t="n">
        <x:v>0.17906901583439724</x:v>
      </x:c>
      <x:c r="I148" s="36" t="n">
        <x:v>0.5816399725057501</x:v>
      </x:c>
      <x:c r="J148" s="36" t="n">
        <x:v>0.23929101165885278</x:v>
      </x:c>
      <x:c r="K148" s="23" t="n">
        <x:f>0.5*(ABS(H148-E148)+ABS(I148-F148)+ABS(J148-G148))*100</x:f>
        <x:v>17.90690158348972</x:v>
      </x:c>
      <x:c r="L148" s="20" t="n">
        <x:v>24</x:v>
      </x:c>
    </x:row>
    <x:row r="149">
      <x:c r="A149" s="20" t="str">
        <x:v>pls</x:v>
      </x:c>
      <x:c r="B149" s="20" t="str">
        <x:v>DQ0-TB50-TH150.csv</x:v>
      </x:c>
      <x:c r="C149" s="20" t="n">
        <x:v>4</x:v>
      </x:c>
      <x:c r="D149" s="20" t="str">
        <x:v>binary</x:v>
      </x:c>
      <x:c r="E149" s="36" t="n">
        <x:v>0</x:v>
      </x:c>
      <x:c r="F149" s="36" t="n">
        <x:v>0.25</x:v>
      </x:c>
      <x:c r="G149" s="36" t="n">
        <x:v>0.75</x:v>
      </x:c>
      <x:c r="H149" s="36" t="n">
        <x:v>0.14589962872391832</x:v>
      </x:c>
      <x:c r="I149" s="36" t="n">
        <x:v>0.42517925372568993</x:v>
      </x:c>
      <x:c r="J149" s="36" t="n">
        <x:v>0.42892111754939183</x:v>
      </x:c>
      <x:c r="K149" s="23" t="n">
        <x:f>0.5*(ABS(H149-E149)+ABS(I149-F149)+ABS(J149-G149))*100</x:f>
        <x:v>32.10788824501082</x:v>
      </x:c>
      <x:c r="L149" s="20" t="n">
        <x:v>24</x:v>
      </x:c>
    </x:row>
    <x:row r="150">
      <x:c r="A150" s="20" t="str">
        <x:v>pls</x:v>
      </x:c>
      <x:c r="B150" s="20" t="str">
        <x:v>DQ12-TB24-TH12.csv</x:v>
      </x:c>
      <x:c r="C150" s="20" t="n">
        <x:v>4</x:v>
      </x:c>
      <x:c r="D150" s="20" t="str">
        <x:v>ternary</x:v>
      </x:c>
      <x:c r="E150" s="36" t="n">
        <x:v>0.25</x:v>
      </x:c>
      <x:c r="F150" s="36" t="n">
        <x:v>0.5</x:v>
      </x:c>
      <x:c r="G150" s="36" t="n">
        <x:v>0.25</x:v>
      </x:c>
      <x:c r="H150" s="36" t="n">
        <x:v>0.1360338937101215</x:v>
      </x:c>
      <x:c r="I150" s="36" t="n">
        <x:v>0.6751839695124389</x:v>
      </x:c>
      <x:c r="J150" s="36" t="n">
        <x:v>0.1887821367764395</x:v>
      </x:c>
      <x:c r="K150" s="23" t="n">
        <x:f>0.5*(ABS(H150-E150)+ABS(I150-F150)+ABS(J150-G150))*100</x:f>
        <x:v>17.51839695129389</x:v>
      </x:c>
      <x:c r="L150" s="20" t="n">
        <x:v>24</x:v>
      </x:c>
    </x:row>
    <x:row r="151">
      <x:c r="A151" s="20" t="str">
        <x:v>pls</x:v>
      </x:c>
      <x:c r="B151" s="20" t="str">
        <x:v>DQ12-TB6-TH24.csv</x:v>
      </x:c>
      <x:c r="C151" s="20" t="n">
        <x:v>4</x:v>
      </x:c>
      <x:c r="D151" s="20" t="str">
        <x:v>ternary</x:v>
      </x:c>
      <x:c r="E151" s="36" t="n">
        <x:v>0.2857142984867096</x:v>
      </x:c>
      <x:c r="F151" s="36" t="n">
        <x:v>0.1428571492433548</x:v>
      </x:c>
      <x:c r="G151" s="36" t="n">
        <x:v>0.5714285969734192</x:v>
      </x:c>
      <x:c r="H151" s="36" t="n">
        <x:v>0.4152340237812984</x:v>
      </x:c>
      <x:c r="I151" s="36" t="n">
        <x:v>0.18150912094149815</x:v>
      </x:c>
      <x:c r="J151" s="36" t="n">
        <x:v>0.4032568552762033</x:v>
      </x:c>
      <x:c r="K151" s="23" t="n">
        <x:f>0.5*(ABS(H151-E151)+ABS(I151-F151)+ABS(J151-G151))*100</x:f>
        <x:v>16.817171934497406</x:v>
      </x:c>
      <x:c r="L151" s="20" t="n">
        <x:v>24</x:v>
      </x:c>
    </x:row>
    <x:row r="152">
      <x:c r="A152" s="20" t="str">
        <x:v>pls</x:v>
      </x:c>
      <x:c r="B152" s="20" t="str">
        <x:v>DQ24-TB3-TH12.csv</x:v>
      </x:c>
      <x:c r="C152" s="20" t="n">
        <x:v>4</x:v>
      </x:c>
      <x:c r="D152" s="20" t="str">
        <x:v>ternary</x:v>
      </x:c>
      <x:c r="E152" s="36" t="n">
        <x:v>0.6153846383094788</x:v>
      </x:c>
      <x:c r="F152" s="36" t="n">
        <x:v>0.07692307978868484</x:v>
      </x:c>
      <x:c r="G152" s="36" t="n">
        <x:v>0.3076923191547394</x:v>
      </x:c>
      <x:c r="H152" s="36" t="n">
        <x:v>0.4135034299198664</x:v>
      </x:c>
      <x:c r="I152" s="36" t="n">
        <x:v>0.11410209265187798</x:v>
      </x:c>
      <x:c r="J152" s="36" t="n">
        <x:v>0.4723944774272555</x:v>
      </x:c>
      <x:c r="K152" s="23" t="n">
        <x:f>0.5*(ABS(H152-E152)+ABS(I152-F152)+ABS(J152-G152))*100</x:f>
        <x:v>20.188118976266082</x:v>
      </x:c>
      <x:c r="L152" s="20" t="n">
        <x:v>24</x:v>
      </x:c>
    </x:row>
    <x:row r="153">
      <x:c r="A153" s="20" t="str">
        <x:v>pls</x:v>
      </x:c>
      <x:c r="B153" s="20" t="str">
        <x:v>DQ24-TB3-TH3.csv</x:v>
      </x:c>
      <x:c r="C153" s="20" t="n">
        <x:v>4</x:v>
      </x:c>
      <x:c r="D153" s="20" t="str">
        <x:v>ternary</x:v>
      </x:c>
      <x:c r="E153" s="36" t="n">
        <x:v>0.800000011920929</x:v>
      </x:c>
      <x:c r="F153" s="36" t="n">
        <x:v>0.10000000149011612</x:v>
      </x:c>
      <x:c r="G153" s="36" t="n">
        <x:v>0.10000000149011612</x:v>
      </x:c>
      <x:c r="H153" s="36" t="n">
        <x:v>0.546024984484132</x:v>
      </x:c>
      <x:c r="I153" s="36" t="n">
        <x:v>0.2750865319610207</x:v>
      </x:c>
      <x:c r="J153" s="36" t="n">
        <x:v>0.17888848355384723</x:v>
      </x:c>
      <x:c r="K153" s="23" t="n">
        <x:f>0.5*(ABS(H153-E153)+ABS(I153-F153)+ABS(J153-G153))*100</x:f>
        <x:v>25.397501998571638</x:v>
      </x:c>
      <x:c r="L153" s="20" t="n">
        <x:v>24</x:v>
      </x:c>
    </x:row>
    <x:row r="154">
      <x:c r="A154" s="20" t="str">
        <x:v>pls</x:v>
      </x:c>
      <x:c r="B154" s="20" t="str">
        <x:v>DQ24-TB3-TH6.csv</x:v>
      </x:c>
      <x:c r="C154" s="20" t="n">
        <x:v>4</x:v>
      </x:c>
      <x:c r="D154" s="20" t="str">
        <x:v>ternary</x:v>
      </x:c>
      <x:c r="E154" s="36" t="n">
        <x:v>0.7272727489471436</x:v>
      </x:c>
      <x:c r="F154" s="36" t="n">
        <x:v>0.09090909361839294</x:v>
      </x:c>
      <x:c r="G154" s="36" t="n">
        <x:v>0.1818181872367859</x:v>
      </x:c>
      <x:c r="H154" s="36" t="n">
        <x:v>0.5221313875106507</x:v>
      </x:c>
      <x:c r="I154" s="36" t="n">
        <x:v>0.14315155949771582</x:v>
      </x:c>
      <x:c r="J154" s="36" t="n">
        <x:v>0.3347170529906334</x:v>
      </x:c>
      <x:c r="K154" s="23" t="n">
        <x:f>0.5*(ABS(H154-E154)+ABS(I154-F154)+ABS(J154-G154))*100</x:f>
        <x:v>20.514134653483165</x:v>
      </x:c>
      <x:c r="L154" s="20" t="n">
        <x:v>24</x:v>
      </x:c>
    </x:row>
    <x:row r="155">
      <x:c r="A155" s="20" t="str">
        <x:v>pls</x:v>
      </x:c>
      <x:c r="B155" s="20" t="str">
        <x:v>DQ24-TB6-TH3.csv</x:v>
      </x:c>
      <x:c r="C155" s="20" t="n">
        <x:v>4</x:v>
      </x:c>
      <x:c r="D155" s="20" t="str">
        <x:v>ternary</x:v>
      </x:c>
      <x:c r="E155" s="36" t="n">
        <x:v>0.7272727489471436</x:v>
      </x:c>
      <x:c r="F155" s="36" t="n">
        <x:v>0.1818181872367859</x:v>
      </x:c>
      <x:c r="G155" s="36" t="n">
        <x:v>0.09090909361839294</x:v>
      </x:c>
      <x:c r="H155" s="36" t="n">
        <x:v>0.5545585129646452</x:v>
      </x:c>
      <x:c r="I155" s="36" t="n">
        <x:v>0.25937406808411717</x:v>
      </x:c>
      <x:c r="J155" s="36" t="n">
        <x:v>0.18606741895023762</x:v>
      </x:c>
      <x:c r="K155" s="23" t="n">
        <x:f>0.5*(ABS(H155-E155)+ABS(I155-F155)+ABS(J155-G155))*100</x:f>
        <x:v>17.271422108083716</x:v>
      </x:c>
      <x:c r="L155" s="20" t="n">
        <x:v>24</x:v>
      </x:c>
    </x:row>
    <x:row r="156">
      <x:c r="A156" s="20" t="str">
        <x:v>pls</x:v>
      </x:c>
      <x:c r="B156" s="20" t="str">
        <x:v>DQ3-TB12-TH6.csv</x:v>
      </x:c>
      <x:c r="C156" s="20" t="n">
        <x:v>4</x:v>
      </x:c>
      <x:c r="D156" s="20" t="str">
        <x:v>ternary</x:v>
      </x:c>
      <x:c r="E156" s="36" t="n">
        <x:v>0.1428571492433548</x:v>
      </x:c>
      <x:c r="F156" s="36" t="n">
        <x:v>0.5714285969734192</x:v>
      </x:c>
      <x:c r="G156" s="36" t="n">
        <x:v>0.2857142984867096</x:v>
      </x:c>
      <x:c r="H156" s="36" t="n">
        <x:v>0.3007796638479649</x:v>
      </x:c>
      <x:c r="I156" s="36" t="n">
        <x:v>0.44748323228002734</x:v>
      </x:c>
      <x:c r="J156" s="36" t="n">
        <x:v>0.2517371038710077</x:v>
      </x:c>
      <x:c r="K156" s="23" t="n">
        <x:f>0.5*(ABS(H156-E156)+ABS(I156-F156)+ABS(J156-G156))*100</x:f>
        <x:v>15.792253695685194</x:v>
      </x:c>
      <x:c r="L156" s="20" t="n">
        <x:v>24</x:v>
      </x:c>
    </x:row>
    <x:row r="157">
      <x:c r="A157" s="20" t="str">
        <x:v>pls</x:v>
      </x:c>
      <x:c r="B157" s="20" t="str">
        <x:v>DQ3-TB24-TH12.csv</x:v>
      </x:c>
      <x:c r="C157" s="20" t="n">
        <x:v>4</x:v>
      </x:c>
      <x:c r="D157" s="20" t="str">
        <x:v>ternary</x:v>
      </x:c>
      <x:c r="E157" s="36" t="n">
        <x:v>0.07692307978868484</x:v>
      </x:c>
      <x:c r="F157" s="36" t="n">
        <x:v>0.6153846383094788</x:v>
      </x:c>
      <x:c r="G157" s="36" t="n">
        <x:v>0.3076923191547394</x:v>
      </x:c>
      <x:c r="H157" s="36" t="n">
        <x:v>0.09251436716129828</x:v>
      </x:c>
      <x:c r="I157" s="36" t="n">
        <x:v>0.712958599536841</x:v>
      </x:c>
      <x:c r="J157" s="36" t="n">
        <x:v>0.19452703330086052</x:v>
      </x:c>
      <x:c r="K157" s="23" t="n">
        <x:f>0.5*(ABS(H157-E157)+ABS(I157-F157)+ABS(J157-G157))*100</x:f>
        <x:v>11.31652672269273</x:v>
      </x:c>
      <x:c r="L157" s="20" t="n">
        <x:v>24</x:v>
      </x:c>
    </x:row>
    <x:row r="158">
      <x:c r="A158" s="20" t="str">
        <x:v>pls</x:v>
      </x:c>
      <x:c r="B158" s="20" t="str">
        <x:v>DQ3-TB6-TH12.csv</x:v>
      </x:c>
      <x:c r="C158" s="20" t="n">
        <x:v>4</x:v>
      </x:c>
      <x:c r="D158" s="20" t="str">
        <x:v>ternary</x:v>
      </x:c>
      <x:c r="E158" s="36" t="n">
        <x:v>0.1428571492433548</x:v>
      </x:c>
      <x:c r="F158" s="36" t="n">
        <x:v>0.2857142984867096</x:v>
      </x:c>
      <x:c r="G158" s="36" t="n">
        <x:v>0.5714285969734192</x:v>
      </x:c>
      <x:c r="H158" s="36" t="n">
        <x:v>0.2620953456123068</x:v>
      </x:c>
      <x:c r="I158" s="36" t="n">
        <x:v>0.31116090500433996</x:v>
      </x:c>
      <x:c r="J158" s="36" t="n">
        <x:v>0.42674374938235315</x:v>
      </x:c>
      <x:c r="K158" s="23" t="n">
        <x:f>0.5*(ABS(H158-E158)+ABS(I158-F158)+ABS(J158-G158))*100</x:f>
        <x:v>14.46848252388242</x:v>
      </x:c>
      <x:c r="L158" s="20" t="n">
        <x:v>24</x:v>
      </x:c>
    </x:row>
    <x:row r="159">
      <x:c r="A159" s="20" t="str">
        <x:v>pls</x:v>
      </x:c>
      <x:c r="B159" s="20" t="str">
        <x:v>DQ3-TB6-TH24.csv</x:v>
      </x:c>
      <x:c r="C159" s="20" t="n">
        <x:v>4</x:v>
      </x:c>
      <x:c r="D159" s="20" t="str">
        <x:v>ternary</x:v>
      </x:c>
      <x:c r="E159" s="36" t="n">
        <x:v>0.09090909361839294</x:v>
      </x:c>
      <x:c r="F159" s="36" t="n">
        <x:v>0.1818181872367859</x:v>
      </x:c>
      <x:c r="G159" s="36" t="n">
        <x:v>0.7272727489471436</x:v>
      </x:c>
      <x:c r="H159" s="36" t="n">
        <x:v>0.3199845405257609</x:v>
      </x:c>
      <x:c r="I159" s="36" t="n">
        <x:v>0.12424732154089883</x:v>
      </x:c>
      <x:c r="J159" s="36" t="n">
        <x:v>0.5557681379323401</x:v>
      </x:c>
      <x:c r="K159" s="23" t="n">
        <x:f>0.5*(ABS(H159-E159)+ABS(I159-F159)+ABS(J159-G159))*100</x:f>
        <x:v>22.907546180902923</x:v>
      </x:c>
      <x:c r="L159" s="20" t="n">
        <x:v>24</x:v>
      </x:c>
    </x:row>
    <x:row r="160">
      <x:c r="A160" s="20" t="str">
        <x:v>pls</x:v>
      </x:c>
      <x:c r="B160" s="20" t="str">
        <x:v>DQ3-TB6-TH3.csv</x:v>
      </x:c>
      <x:c r="C160" s="20" t="n">
        <x:v>4</x:v>
      </x:c>
      <x:c r="D160" s="20" t="str">
        <x:v>ternary</x:v>
      </x:c>
      <x:c r="E160" s="36" t="n">
        <x:v>0.25</x:v>
      </x:c>
      <x:c r="F160" s="36" t="n">
        <x:v>0.5</x:v>
      </x:c>
      <x:c r="G160" s="36" t="n">
        <x:v>0.25</x:v>
      </x:c>
      <x:c r="H160" s="36" t="n">
        <x:v>0.2836974125497909</x:v>
      </x:c>
      <x:c r="I160" s="36" t="n">
        <x:v>0.42454625574815913</x:v>
      </x:c>
      <x:c r="J160" s="36" t="n">
        <x:v>0.2917563317010499</x:v>
      </x:c>
      <x:c r="K160" s="23" t="n">
        <x:f>0.5*(ABS(H160-E160)+ABS(I160-F160)+ABS(J160-G160))*100</x:f>
        <x:v>7.545374425134085</x:v>
      </x:c>
      <x:c r="L160" s="20" t="n">
        <x:v>24</x:v>
      </x:c>
    </x:row>
    <x:row r="161">
      <x:c r="A161" s="20" t="str">
        <x:v>pls</x:v>
      </x:c>
      <x:c r="B161" s="20" t="str">
        <x:v>DQ33-TB333-TH333.csv</x:v>
      </x:c>
      <x:c r="C161" s="20" t="n">
        <x:v>4</x:v>
      </x:c>
      <x:c r="D161" s="20" t="str">
        <x:v>ternary</x:v>
      </x:c>
      <x:c r="E161" s="36" t="n">
        <x:v>0.04721030220389366</x:v>
      </x:c>
      <x:c r="F161" s="36" t="n">
        <x:v>0.4763948619365692</x:v>
      </x:c>
      <x:c r="G161" s="36" t="n">
        <x:v>0.4763948619365692</x:v>
      </x:c>
      <x:c r="H161" s="36" t="n">
        <x:v>0.18289845176390931</x:v>
      </x:c>
      <x:c r="I161" s="36" t="n">
        <x:v>0.13545453847148278</x:v>
      </x:c>
      <x:c r="J161" s="36" t="n">
        <x:v>0.6816470097636079</x:v>
      </x:c>
      <x:c r="K161" s="23" t="n">
        <x:f>0.5*(ABS(H161-E161)+ABS(I161-F161)+ABS(J161-G161))*100</x:f>
        <x:v>34.094031042607035</x:v>
      </x:c>
      <x:c r="L161" s="20" t="n">
        <x:v>24</x:v>
      </x:c>
    </x:row>
    <x:row r="162">
      <x:c r="A162" s="20" t="str">
        <x:v>pls</x:v>
      </x:c>
      <x:c r="B162" s="20" t="str">
        <x:v>DQ6-TB12-TH24.csv</x:v>
      </x:c>
      <x:c r="C162" s="20" t="n">
        <x:v>4</x:v>
      </x:c>
      <x:c r="D162" s="20" t="str">
        <x:v>ternary</x:v>
      </x:c>
      <x:c r="E162" s="36" t="n">
        <x:v>0.1428571492433548</x:v>
      </x:c>
      <x:c r="F162" s="36" t="n">
        <x:v>0.2857142984867096</x:v>
      </x:c>
      <x:c r="G162" s="36" t="n">
        <x:v>0.5714285969734192</x:v>
      </x:c>
      <x:c r="H162" s="36" t="n">
        <x:v>0.15578102233223454</x:v>
      </x:c>
      <x:c r="I162" s="36" t="n">
        <x:v>0.3274500812880534</x:v>
      </x:c>
      <x:c r="J162" s="36" t="n">
        <x:v>0.5167688963787119</x:v>
      </x:c>
      <x:c r="K162" s="23" t="n">
        <x:f>0.5*(ABS(H162-E162)+ABS(I162-F162)+ABS(J162-G162))*100</x:f>
        <x:v>5.465967824246541</x:v>
      </x:c>
      <x:c r="L162" s="20" t="n">
        <x:v>24</x:v>
      </x:c>
    </x:row>
    <x:row r="163">
      <x:c r="A163" s="20" t="str">
        <x:v>pls</x:v>
      </x:c>
      <x:c r="B163" s="20" t="str">
        <x:v>DQ6-TB12-TH6.csv</x:v>
      </x:c>
      <x:c r="C163" s="20" t="n">
        <x:v>4</x:v>
      </x:c>
      <x:c r="D163" s="20" t="str">
        <x:v>ternary</x:v>
      </x:c>
      <x:c r="E163" s="36" t="n">
        <x:v>0.25</x:v>
      </x:c>
      <x:c r="F163" s="36" t="n">
        <x:v>0.5</x:v>
      </x:c>
      <x:c r="G163" s="36" t="n">
        <x:v>0.25</x:v>
      </x:c>
      <x:c r="H163" s="36" t="n">
        <x:v>0.30060150919216555</x:v>
      </x:c>
      <x:c r="I163" s="36" t="n">
        <x:v>0.4485846585856881</x:v>
      </x:c>
      <x:c r="J163" s="36" t="n">
        <x:v>0.2508138322211464</x:v>
      </x:c>
      <x:c r="K163" s="23" t="n">
        <x:f>0.5*(ABS(H163-E163)+ABS(I163-F163)+ABS(J163-G163))*100</x:f>
        <x:v>5.141534141381193</x:v>
      </x:c>
      <x:c r="L163" s="20" t="n">
        <x:v>24</x:v>
      </x:c>
    </x:row>
    <x:row r="164">
      <x:c r="A164" s="20" t="str">
        <x:v>pls</x:v>
      </x:c>
      <x:c r="B164" s="20" t="str">
        <x:v>DQ6-TB24-TH12.csv</x:v>
      </x:c>
      <x:c r="C164" s="20" t="n">
        <x:v>4</x:v>
      </x:c>
      <x:c r="D164" s="20" t="str">
        <x:v>ternary</x:v>
      </x:c>
      <x:c r="E164" s="36" t="n">
        <x:v>0.1428571492433548</x:v>
      </x:c>
      <x:c r="F164" s="36" t="n">
        <x:v>0.5714285969734192</x:v>
      </x:c>
      <x:c r="G164" s="36" t="n">
        <x:v>0.2857142984867096</x:v>
      </x:c>
      <x:c r="H164" s="36" t="n">
        <x:v>0.13557646985148283</x:v>
      </x:c>
      <x:c r="I164" s="36" t="n">
        <x:v>0.5811570053285705</x:v>
      </x:c>
      <x:c r="J164" s="36" t="n">
        <x:v>0.28326652481894643</x:v>
      </x:c>
      <x:c r="K164" s="23" t="n">
        <x:f>0.5*(ABS(H164-E164)+ABS(I164-F164)+ABS(J164-G164))*100</x:f>
        <x:v>0.9728430707393223</x:v>
      </x:c>
      <x:c r="L164" s="20" t="n">
        <x:v>24</x:v>
      </x:c>
    </x:row>
    <x:row r="165">
      <x:c r="A165" s="20" t="str">
        <x:v>pls</x:v>
      </x:c>
      <x:c r="B165" s="20" t="str">
        <x:v>DQ6-TB3-TH12.csv</x:v>
      </x:c>
      <x:c r="C165" s="20" t="n">
        <x:v>4</x:v>
      </x:c>
      <x:c r="D165" s="20" t="str">
        <x:v>ternary</x:v>
      </x:c>
      <x:c r="E165" s="36" t="n">
        <x:v>0.2857142984867096</x:v>
      </x:c>
      <x:c r="F165" s="36" t="n">
        <x:v>0.1428571492433548</x:v>
      </x:c>
      <x:c r="G165" s="36" t="n">
        <x:v>0.5714285969734192</x:v>
      </x:c>
      <x:c r="H165" s="36" t="n">
        <x:v>0.32138452391995254</x:v>
      </x:c>
      <x:c r="I165" s="36" t="n">
        <x:v>0.18873410180002417</x:v>
      </x:c>
      <x:c r="J165" s="36" t="n">
        <x:v>0.48988137427902306</x:v>
      </x:c>
      <x:c r="K165" s="23" t="n">
        <x:f>0.5*(ABS(H165-E165)+ABS(I165-F165)+ABS(J165-G165))*100</x:f>
        <x:v>8.154720034215423</x:v>
      </x:c>
      <x:c r="L165" s="20" t="n">
        <x:v>24</x:v>
      </x:c>
    </x:row>
    <x:row r="166">
      <x:c r="A166" s="20" t="str">
        <x:v>pls</x:v>
      </x:c>
      <x:c r="B166" s="20" t="str">
        <x:v>DQ12-TB12-TH3.csv</x:v>
      </x:c>
      <x:c r="C166" s="20" t="n">
        <x:v>5</x:v>
      </x:c>
      <x:c r="D166" s="20" t="str">
        <x:v>ternary</x:v>
      </x:c>
      <x:c r="E166" s="36" t="n">
        <x:v>0.4444444477558136</x:v>
      </x:c>
      <x:c r="F166" s="36" t="n">
        <x:v>0.4444444477558136</x:v>
      </x:c>
      <x:c r="G166" s="36" t="n">
        <x:v>0.1111111119389534</x:v>
      </x:c>
      <x:c r="H166" s="36" t="n">
        <x:v>0.4851978072133611</x:v>
      </x:c>
      <x:c r="I166" s="36" t="n">
        <x:v>0.3223172196528697</x:v>
      </x:c>
      <x:c r="J166" s="36" t="n">
        <x:v>0.1924849731327691</x:v>
      </x:c>
      <x:c r="K166" s="23" t="n">
        <x:f>0.5*(ABS(H166-E166)+ABS(I166-F166)+ABS(J166-G166))*100</x:f>
        <x:v>12.212722437715355</x:v>
      </x:c>
      <x:c r="L166" s="20" t="n">
        <x:v>24</x:v>
      </x:c>
    </x:row>
    <x:row r="167">
      <x:c r="A167" s="20" t="str">
        <x:v>pls</x:v>
      </x:c>
      <x:c r="B167" s="20" t="str">
        <x:v>DQ12-TB3-TH6.csv</x:v>
      </x:c>
      <x:c r="C167" s="20" t="n">
        <x:v>5</x:v>
      </x:c>
      <x:c r="D167" s="20" t="str">
        <x:v>ternary</x:v>
      </x:c>
      <x:c r="E167" s="36" t="n">
        <x:v>0.5714285969734192</x:v>
      </x:c>
      <x:c r="F167" s="36" t="n">
        <x:v>0.1428571492433548</x:v>
      </x:c>
      <x:c r="G167" s="36" t="n">
        <x:v>0.2857142984867096</x:v>
      </x:c>
      <x:c r="H167" s="36" t="n">
        <x:v>0.4393083915120146</x:v>
      </x:c>
      <x:c r="I167" s="36" t="n">
        <x:v>0.3157478635331967</x:v>
      </x:c>
      <x:c r="J167" s="36" t="n">
        <x:v>0.24494374495378848</x:v>
      </x:c>
      <x:c r="K167" s="23" t="n">
        <x:f>0.5*(ABS(H167-E167)+ABS(I167-F167)+ABS(J167-G167))*100</x:f>
        <x:v>17.28907366420838</x:v>
      </x:c>
      <x:c r="L167" s="20" t="n">
        <x:v>24</x:v>
      </x:c>
    </x:row>
    <x:row r="168">
      <x:c r="A168" s="20" t="str">
        <x:v>pls</x:v>
      </x:c>
      <x:c r="B168" s="20" t="str">
        <x:v>DQ12-TB6-TH12.csv</x:v>
      </x:c>
      <x:c r="C168" s="20" t="n">
        <x:v>5</x:v>
      </x:c>
      <x:c r="D168" s="20" t="str">
        <x:v>ternary</x:v>
      </x:c>
      <x:c r="E168" s="36" t="n">
        <x:v>0.4000000059604645</x:v>
      </x:c>
      <x:c r="F168" s="36" t="n">
        <x:v>0.20000000298023224</x:v>
      </x:c>
      <x:c r="G168" s="36" t="n">
        <x:v>0.4000000059604645</x:v>
      </x:c>
      <x:c r="H168" s="36" t="n">
        <x:v>0.40641453883128076</x:v>
      </x:c>
      <x:c r="I168" s="36" t="n">
        <x:v>0.2716602559358992</x:v>
      </x:c>
      <x:c r="J168" s="36" t="n">
        <x:v>0.32192520523181983</x:v>
      </x:c>
      <x:c r="K168" s="23" t="n">
        <x:f>0.5*(ABS(H168-E168)+ABS(I168-F168)+ABS(J168-G168))*100</x:f>
        <x:v>7.807479327756395</x:v>
      </x:c>
      <x:c r="L168" s="20" t="n">
        <x:v>24</x:v>
      </x:c>
    </x:row>
    <x:row r="169">
      <x:c r="A169" s="20" t="str">
        <x:v>pls</x:v>
      </x:c>
      <x:c r="B169" s="20" t="str">
        <x:v>DQ150-TB0-TH50.csv</x:v>
      </x:c>
      <x:c r="C169" s="20" t="n">
        <x:v>5</x:v>
      </x:c>
      <x:c r="D169" s="20" t="str">
        <x:v>binary</x:v>
      </x:c>
      <x:c r="E169" s="36" t="n">
        <x:v>0.75</x:v>
      </x:c>
      <x:c r="F169" s="36" t="n">
        <x:v>0</x:v>
      </x:c>
      <x:c r="G169" s="36" t="n">
        <x:v>0.25</x:v>
      </x:c>
      <x:c r="H169" s="36" t="n">
        <x:v>0.5296988390630037</x:v>
      </x:c>
      <x:c r="I169" s="36" t="n">
        <x:v>0.08642324661538862</x:v>
      </x:c>
      <x:c r="J169" s="36" t="n">
        <x:v>0.38387791432060797</x:v>
      </x:c>
      <x:c r="K169" s="23" t="n">
        <x:f>0.5*(ABS(H169-E169)+ABS(I169-F169)+ABS(J169-G169))*100</x:f>
        <x:v>22.030116093649642</x:v>
      </x:c>
      <x:c r="L169" s="20" t="n">
        <x:v>24</x:v>
      </x:c>
    </x:row>
    <x:row r="170">
      <x:c r="A170" s="20" t="str">
        <x:v>pls</x:v>
      </x:c>
      <x:c r="B170" s="20" t="str">
        <x:v>DQ24-TB12-TH24.csv</x:v>
      </x:c>
      <x:c r="C170" s="20" t="n">
        <x:v>5</x:v>
      </x:c>
      <x:c r="D170" s="20" t="str">
        <x:v>ternary</x:v>
      </x:c>
      <x:c r="E170" s="36" t="n">
        <x:v>0.4000000059604645</x:v>
      </x:c>
      <x:c r="F170" s="36" t="n">
        <x:v>0.20000000298023224</x:v>
      </x:c>
      <x:c r="G170" s="36" t="n">
        <x:v>0.4000000059604645</x:v>
      </x:c>
      <x:c r="H170" s="36" t="n">
        <x:v>0.485437987716685</x:v>
      </x:c>
      <x:c r="I170" s="36" t="n">
        <x:v>0.16998197254274383</x:v>
      </x:c>
      <x:c r="J170" s="36" t="n">
        <x:v>0.344580039739571</x:v>
      </x:c>
      <x:c r="K170" s="23" t="n">
        <x:f>0.5*(ABS(H170-E170)+ABS(I170-F170)+ABS(J170-G170))*100</x:f>
        <x:v>8.54379892073012</x:v>
      </x:c>
      <x:c r="L170" s="20" t="n">
        <x:v>24</x:v>
      </x:c>
    </x:row>
    <x:row r="171">
      <x:c r="A171" s="20" t="str">
        <x:v>pls</x:v>
      </x:c>
      <x:c r="B171" s="20" t="str">
        <x:v>DQ24-TB24-TH6.csv</x:v>
      </x:c>
      <x:c r="C171" s="20" t="n">
        <x:v>5</x:v>
      </x:c>
      <x:c r="D171" s="20" t="str">
        <x:v>ternary</x:v>
      </x:c>
      <x:c r="E171" s="36" t="n">
        <x:v>0.4444444477558136</x:v>
      </x:c>
      <x:c r="F171" s="36" t="n">
        <x:v>0.4444444477558136</x:v>
      </x:c>
      <x:c r="G171" s="36" t="n">
        <x:v>0.1111111119389534</x:v>
      </x:c>
      <x:c r="H171" s="36" t="n">
        <x:v>0.42293709708415234</x:v>
      </x:c>
      <x:c r="I171" s="36" t="n">
        <x:v>0.40048267680587185</x:v>
      </x:c>
      <x:c r="J171" s="36" t="n">
        <x:v>0.1765802261089756</x:v>
      </x:c>
      <x:c r="K171" s="23" t="n">
        <x:f>0.5*(ABS(H171-E171)+ABS(I171-F171)+ABS(J171-G171))*100</x:f>
        <x:v>6.546911789581261</x:v>
      </x:c>
      <x:c r="L171" s="20" t="n">
        <x:v>24</x:v>
      </x:c>
    </x:row>
    <x:row r="172">
      <x:c r="A172" s="20" t="str">
        <x:v>pls</x:v>
      </x:c>
      <x:c r="B172" s="20" t="str">
        <x:v>DQ24-TB3-TH24.csv</x:v>
      </x:c>
      <x:c r="C172" s="20" t="n">
        <x:v>5</x:v>
      </x:c>
      <x:c r="D172" s="20" t="str">
        <x:v>ternary</x:v>
      </x:c>
      <x:c r="E172" s="36" t="n">
        <x:v>0.47058823704719543</x:v>
      </x:c>
      <x:c r="F172" s="36" t="n">
        <x:v>0.05882352963089943</x:v>
      </x:c>
      <x:c r="G172" s="36" t="n">
        <x:v>0.47058823704719543</x:v>
      </x:c>
      <x:c r="H172" s="36" t="n">
        <x:v>0.19378513300352032</x:v>
      </x:c>
      <x:c r="I172" s="36" t="n">
        <x:v>0.29721324964050727</x:v>
      </x:c>
      <x:c r="J172" s="36" t="n">
        <x:v>0.5090016173549723</x:v>
      </x:c>
      <x:c r="K172" s="23" t="n">
        <x:f>0.5*(ABS(H172-E172)+ABS(I172-F172)+ABS(J172-G172))*100</x:f>
        <x:v>27.680310218052995</x:v>
      </x:c>
      <x:c r="L172" s="20" t="n">
        <x:v>24</x:v>
      </x:c>
    </x:row>
    <x:row r="173">
      <x:c r="A173" s="20" t="str">
        <x:v>pls</x:v>
      </x:c>
      <x:c r="B173" s="20" t="str">
        <x:v>DQ24-TB6-TH12.csv</x:v>
      </x:c>
      <x:c r="C173" s="20" t="n">
        <x:v>5</x:v>
      </x:c>
      <x:c r="D173" s="20" t="str">
        <x:v>ternary</x:v>
      </x:c>
      <x:c r="E173" s="36" t="n">
        <x:v>0.5714285969734192</x:v>
      </x:c>
      <x:c r="F173" s="36" t="n">
        <x:v>0.1428571492433548</x:v>
      </x:c>
      <x:c r="G173" s="36" t="n">
        <x:v>0.2857142984867096</x:v>
      </x:c>
      <x:c r="H173" s="36" t="n">
        <x:v>0.6071923618588163</x:v>
      </x:c>
      <x:c r="I173" s="36" t="n">
        <x:v>0.16074163472650974</x:v>
      </x:c>
      <x:c r="J173" s="36" t="n">
        <x:v>0.23206600341367364</x:v>
      </x:c>
      <x:c r="K173" s="23" t="n">
        <x:f>0.5*(ABS(H173-E173)+ABS(I173-F173)+ABS(J173-G173))*100</x:f>
        <x:v>5.364827272079401</x:v>
      </x:c>
      <x:c r="L173" s="20" t="n">
        <x:v>24</x:v>
      </x:c>
    </x:row>
    <x:row r="174">
      <x:c r="A174" s="20" t="str">
        <x:v>pls</x:v>
      </x:c>
      <x:c r="B174" s="20" t="str">
        <x:v>DQ3-TB24-TH24.csv</x:v>
      </x:c>
      <x:c r="C174" s="20" t="n">
        <x:v>5</x:v>
      </x:c>
      <x:c r="D174" s="20" t="str">
        <x:v>ternary</x:v>
      </x:c>
      <x:c r="E174" s="36" t="n">
        <x:v>0.05882352963089943</x:v>
      </x:c>
      <x:c r="F174" s="36" t="n">
        <x:v>0.47058823704719543</x:v>
      </x:c>
      <x:c r="G174" s="36" t="n">
        <x:v>0.47058823704719543</x:v>
      </x:c>
      <x:c r="H174" s="36" t="n">
        <x:v>0.13823533348463046</x:v>
      </x:c>
      <x:c r="I174" s="36" t="n">
        <x:v>0.4566882947790259</x:v>
      </x:c>
      <x:c r="J174" s="36" t="n">
        <x:v>0.40507637173534355</x:v>
      </x:c>
      <x:c r="K174" s="23" t="n">
        <x:f>0.5*(ABS(H174-E174)+ABS(I174-F174)+ABS(J174-G174))*100</x:f>
        <x:v>7.941180571687623</x:v>
      </x:c>
      <x:c r="L174" s="20" t="n">
        <x:v>24</x:v>
      </x:c>
    </x:row>
    <x:row r="175">
      <x:c r="A175" s="20" t="str">
        <x:v>pls</x:v>
      </x:c>
      <x:c r="B175" s="20" t="str">
        <x:v>DQ3-TB24-TH6.csv</x:v>
      </x:c>
      <x:c r="C175" s="20" t="n">
        <x:v>5</x:v>
      </x:c>
      <x:c r="D175" s="20" t="str">
        <x:v>ternary</x:v>
      </x:c>
      <x:c r="E175" s="36" t="n">
        <x:v>0.09090909361839294</x:v>
      </x:c>
      <x:c r="F175" s="36" t="n">
        <x:v>0.7272727489471436</x:v>
      </x:c>
      <x:c r="G175" s="36" t="n">
        <x:v>0.1818181872367859</x:v>
      </x:c>
      <x:c r="H175" s="36" t="n">
        <x:v>0.12091928359434473</x:v>
      </x:c>
      <x:c r="I175" s="36" t="n">
        <x:v>0.6408915755522459</x:v>
      </x:c>
      <x:c r="J175" s="36" t="n">
        <x:v>0.23818914085241152</x:v>
      </x:c>
      <x:c r="K175" s="23" t="n">
        <x:f>0.5*(ABS(H175-E175)+ABS(I175-F175)+ABS(J175-G175))*100</x:f>
        <x:v>8.638115849323755</x:v>
      </x:c>
      <x:c r="L175" s="20" t="n">
        <x:v>24</x:v>
      </x:c>
    </x:row>
    <x:row r="176">
      <x:c r="A176" s="20" t="str">
        <x:v>pls</x:v>
      </x:c>
      <x:c r="B176" s="20" t="str">
        <x:v>DQ3-TB3-TH12.csv</x:v>
      </x:c>
      <x:c r="C176" s="20" t="n">
        <x:v>5</x:v>
      </x:c>
      <x:c r="D176" s="20" t="str">
        <x:v>ternary</x:v>
      </x:c>
      <x:c r="E176" s="36" t="n">
        <x:v>0.1666666716337204</x:v>
      </x:c>
      <x:c r="F176" s="36" t="n">
        <x:v>0.1666666716337204</x:v>
      </x:c>
      <x:c r="G176" s="36" t="n">
        <x:v>0.6666666865348816</x:v>
      </x:c>
      <x:c r="H176" s="36" t="n">
        <x:v>0.2056364460701663</x:v>
      </x:c>
      <x:c r="I176" s="36" t="n">
        <x:v>0.3017050898175532</x:v>
      </x:c>
      <x:c r="J176" s="36" t="n">
        <x:v>0.49265846411128034</x:v>
      </x:c>
      <x:c r="K176" s="23" t="n">
        <x:f>0.5*(ABS(H176-E176)+ABS(I176-F176)+ABS(J176-G176))*100</x:f>
        <x:v>17.400820752193997</x:v>
      </x:c>
      <x:c r="L176" s="20" t="n">
        <x:v>24</x:v>
      </x:c>
    </x:row>
    <x:row r="177">
      <x:c r="A177" s="20" t="str">
        <x:v>pls</x:v>
      </x:c>
      <x:c r="B177" s="20" t="str">
        <x:v>DQ333-TB33-TH333.csv</x:v>
      </x:c>
      <x:c r="C177" s="20" t="n">
        <x:v>5</x:v>
      </x:c>
      <x:c r="D177" s="20" t="str">
        <x:v>ternary</x:v>
      </x:c>
      <x:c r="E177" s="36" t="n">
        <x:v>0.4763948619365692</x:v>
      </x:c>
      <x:c r="F177" s="36" t="n">
        <x:v>0.04721030220389366</x:v>
      </x:c>
      <x:c r="G177" s="36" t="n">
        <x:v>0.4763948619365692</x:v>
      </x:c>
      <x:c r="H177" s="36" t="n">
        <x:v>0.21954549014644012</x:v>
      </x:c>
      <x:c r="I177" s="36" t="n">
        <x:v>0.08393467147413541</x:v>
      </x:c>
      <x:c r="J177" s="36" t="n">
        <x:v>0.6965198383784282</x:v>
      </x:c>
      <x:c r="K177" s="23" t="n">
        <x:f>0.5*(ABS(H177-E177)+ABS(I177-F177)+ABS(J177-G177))*100</x:f>
        <x:v>25.684935875111492</x:v>
      </x:c>
      <x:c r="L177" s="20" t="n">
        <x:v>24</x:v>
      </x:c>
    </x:row>
    <x:row r="178">
      <x:c r="A178" s="20" t="str">
        <x:v>pls</x:v>
      </x:c>
      <x:c r="B178" s="20" t="str">
        <x:v>DQ50-TB0-TH500.csv</x:v>
      </x:c>
      <x:c r="C178" s="20" t="n">
        <x:v>5</x:v>
      </x:c>
      <x:c r="D178" s="20" t="str">
        <x:v>binary</x:v>
      </x:c>
      <x:c r="E178" s="36" t="n">
        <x:v>0.09090909361839294</x:v>
      </x:c>
      <x:c r="F178" s="36" t="n">
        <x:v>0</x:v>
      </x:c>
      <x:c r="G178" s="36" t="n">
        <x:v>0.9090909361839294</x:v>
      </x:c>
      <x:c r="H178" s="36" t="n">
        <x:v>0.1447655792867992</x:v>
      </x:c>
      <x:c r="I178" s="36" t="n">
        <x:v>0.08362366777667464</x:v>
      </x:c>
      <x:c r="J178" s="36" t="n">
        <x:v>0.7716107529355266</x:v>
      </x:c>
      <x:c r="K178" s="23" t="n">
        <x:f>0.5*(ABS(H178-E178)+ABS(I178-F178)+ABS(J178-G178))*100</x:f>
        <x:v>13.748016834674187</x:v>
      </x:c>
      <x:c r="L178" s="20" t="n">
        <x:v>24</x:v>
      </x:c>
    </x:row>
    <x:row r="179">
      <x:c r="A179" s="20" t="str">
        <x:v>pls</x:v>
      </x:c>
      <x:c r="B179" s="20" t="str">
        <x:v>DQ50-TB500-TH0.csv</x:v>
      </x:c>
      <x:c r="C179" s="20" t="n">
        <x:v>5</x:v>
      </x:c>
      <x:c r="D179" s="20" t="str">
        <x:v>binary</x:v>
      </x:c>
      <x:c r="E179" s="36" t="n">
        <x:v>0.09090909361839294</x:v>
      </x:c>
      <x:c r="F179" s="36" t="n">
        <x:v>0.9090909361839294</x:v>
      </x:c>
      <x:c r="G179" s="36" t="n">
        <x:v>0</x:v>
      </x:c>
      <x:c r="H179" s="36" t="n">
        <x:v>0.39173202767362997</x:v>
      </x:c>
      <x:c r="I179" s="36" t="n">
        <x:v>0.60004119219809</x:v>
      </x:c>
      <x:c r="J179" s="36" t="n">
        <x:v>0.008226780127299441</x:v>
      </x:c>
      <x:c r="K179" s="23" t="n">
        <x:f>0.5*(ABS(H179-E179)+ABS(I179-F179)+ABS(J179-G179))*100</x:f>
        <x:v>30.90497290841879</x:v>
      </x:c>
      <x:c r="L179" s="20" t="n">
        <x:v>24</x:v>
      </x:c>
    </x:row>
    <x:row r="180">
      <x:c r="A180" s="20" t="str">
        <x:v>pls</x:v>
      </x:c>
      <x:c r="B180" s="20" t="str">
        <x:v>DQ6-TB24-TH3.csv</x:v>
      </x:c>
      <x:c r="C180" s="20" t="n">
        <x:v>5</x:v>
      </x:c>
      <x:c r="D180" s="20" t="str">
        <x:v>ternary</x:v>
      </x:c>
      <x:c r="E180" s="36" t="n">
        <x:v>0.1818181872367859</x:v>
      </x:c>
      <x:c r="F180" s="36" t="n">
        <x:v>0.7272727489471436</x:v>
      </x:c>
      <x:c r="G180" s="36" t="n">
        <x:v>0.09090909361839294</x:v>
      </x:c>
      <x:c r="H180" s="36" t="n">
        <x:v>0.351429943195613</x:v>
      </x:c>
      <x:c r="I180" s="36" t="n">
        <x:v>0.4843949850914014</x:v>
      </x:c>
      <x:c r="J180" s="36" t="n">
        <x:v>0.16417507171198545</x:v>
      </x:c>
      <x:c r="K180" s="23" t="n">
        <x:f>0.5*(ABS(H180-E180)+ABS(I180-F180)+ABS(J180-G180))*100</x:f>
        <x:v>24.287774895408088</x:v>
      </x:c>
      <x:c r="L180" s="20" t="n">
        <x:v>24</x:v>
      </x:c>
    </x:row>
    <x:row r="181">
      <x:c r="A181" s="20" t="str">
        <x:v>pls</x:v>
      </x:c>
      <x:c r="B181" s="20" t="str">
        <x:v>DQ6-TB3-TH6.csv</x:v>
      </x:c>
      <x:c r="C181" s="20" t="n">
        <x:v>5</x:v>
      </x:c>
      <x:c r="D181" s="20" t="str">
        <x:v>ternary</x:v>
      </x:c>
      <x:c r="E181" s="36" t="n">
        <x:v>0.4000000059604645</x:v>
      </x:c>
      <x:c r="F181" s="36" t="n">
        <x:v>0.20000000298023224</x:v>
      </x:c>
      <x:c r="G181" s="36" t="n">
        <x:v>0.4000000059604645</x:v>
      </x:c>
      <x:c r="H181" s="36" t="n">
        <x:v>0.32814017192196315</x:v>
      </x:c>
      <x:c r="I181" s="36" t="n">
        <x:v>0.3258932205684047</x:v>
      </x:c>
      <x:c r="J181" s="36" t="n">
        <x:v>0.345966607508632</x:v>
      </x:c>
      <x:c r="K181" s="23" t="n">
        <x:f>0.5*(ABS(H181-E181)+ABS(I181-F181)+ABS(J181-G181))*100</x:f>
        <x:v>12.589322503925313</x:v>
      </x:c>
      <x:c r="L181" s="20" t="n">
        <x:v>24</x:v>
      </x:c>
    </x:row>
    <x:row r="182">
      <x:c r="A182" s="20" t="str">
        <x:v>pls</x:v>
      </x:c>
      <x:c r="B182" s="20" t="str">
        <x:v>DQ6-TB6-TH24.csv</x:v>
      </x:c>
      <x:c r="C182" s="20" t="n">
        <x:v>5</x:v>
      </x:c>
      <x:c r="D182" s="20" t="str">
        <x:v>ternary</x:v>
      </x:c>
      <x:c r="E182" s="36" t="n">
        <x:v>0.1666666716337204</x:v>
      </x:c>
      <x:c r="F182" s="36" t="n">
        <x:v>0.1666666716337204</x:v>
      </x:c>
      <x:c r="G182" s="36" t="n">
        <x:v>0.6666666865348816</x:v>
      </x:c>
      <x:c r="H182" s="36" t="n">
        <x:v>0.19710654616937143</x:v>
      </x:c>
      <x:c r="I182" s="36" t="n">
        <x:v>0.1937651936902434</x:v>
      </x:c>
      <x:c r="J182" s="36" t="n">
        <x:v>0.6091282601393849</x:v>
      </x:c>
      <x:c r="K182" s="23" t="n">
        <x:f>0.5*(ABS(H182-E182)+ABS(I182-F182)+ABS(J182-G182))*100</x:f>
        <x:v>5.753841149383534</x:v>
      </x:c>
      <x:c r="L182" s="20" t="n">
        <x:v>24</x:v>
      </x:c>
    </x:row>
    <x:row r="183">
      <x:c r="A183" s="20" t="str">
        <x:v>rf</x:v>
      </x:c>
      <x:c r="B183" s="20" t="str">
        <x:v>DQ0-TB50-TH250.csv</x:v>
      </x:c>
      <x:c r="C183" s="20" t="n">
        <x:v>1</x:v>
      </x:c>
      <x:c r="D183" s="20" t="str">
        <x:v>binary</x:v>
      </x:c>
      <x:c r="E183" s="36" t="n">
        <x:v>0</x:v>
      </x:c>
      <x:c r="F183" s="36" t="n">
        <x:v>0.1666666716337204</x:v>
      </x:c>
      <x:c r="G183" s="36" t="n">
        <x:v>0.8333333134651184</x:v>
      </x:c>
      <x:c r="H183" s="36" t="n">
        <x:v>0.22468641540857892</x:v>
      </x:c>
      <x:c r="I183" s="36" t="n">
        <x:v>0.19028329104170147</x:v>
      </x:c>
      <x:c r="J183" s="36" t="n">
        <x:v>0.5850302935487196</x:v>
      </x:c>
      <x:c r="K183" s="23" t="n">
        <x:f>0.5*(ABS(H183-E183)+ABS(I183-F183)+ABS(J183-G183))*100</x:f>
        <x:v>24.83030273664794</x:v>
      </x:c>
      <x:c r="L183" s="20" t="n">
        <x:v>24</x:v>
      </x:c>
    </x:row>
    <x:row r="184">
      <x:c r="A184" s="20" t="str">
        <x:v>rf</x:v>
      </x:c>
      <x:c r="B184" s="20" t="str">
        <x:v>DQ0-TB50-TH500.csv</x:v>
      </x:c>
      <x:c r="C184" s="20" t="n">
        <x:v>1</x:v>
      </x:c>
      <x:c r="D184" s="20" t="str">
        <x:v>binary</x:v>
      </x:c>
      <x:c r="E184" s="36" t="n">
        <x:v>0</x:v>
      </x:c>
      <x:c r="F184" s="36" t="n">
        <x:v>0.09090909361839294</x:v>
      </x:c>
      <x:c r="G184" s="36" t="n">
        <x:v>0.9090909361839294</x:v>
      </x:c>
      <x:c r="H184" s="36" t="n">
        <x:v>0.20710133220887364</x:v>
      </x:c>
      <x:c r="I184" s="36" t="n">
        <x:v>0.11915488392112915</x:v>
      </x:c>
      <x:c r="J184" s="36" t="n">
        <x:v>0.6737437838689971</x:v>
      </x:c>
      <x:c r="K184" s="23" t="n">
        <x:f>0.5*(ABS(H184-E184)+ABS(I184-F184)+ABS(J184-G184))*100</x:f>
        <x:v>23.534713741327106</x:v>
      </x:c>
      <x:c r="L184" s="20" t="n">
        <x:v>24</x:v>
      </x:c>
    </x:row>
    <x:row r="185">
      <x:c r="A185" s="20" t="str">
        <x:v>rf</x:v>
      </x:c>
      <x:c r="B185" s="20" t="str">
        <x:v>DQ0-TB500-TH500.csv</x:v>
      </x:c>
      <x:c r="C185" s="20" t="n">
        <x:v>1</x:v>
      </x:c>
      <x:c r="D185" s="20" t="str">
        <x:v>binary</x:v>
      </x:c>
      <x:c r="E185" s="36" t="n">
        <x:v>0</x:v>
      </x:c>
      <x:c r="F185" s="36" t="n">
        <x:v>0.5</x:v>
      </x:c>
      <x:c r="G185" s="36" t="n">
        <x:v>0.5</x:v>
      </x:c>
      <x:c r="H185" s="36" t="n">
        <x:v>0.23213087070804225</x:v>
      </x:c>
      <x:c r="I185" s="36" t="n">
        <x:v>0.2875185593114469</x:v>
      </x:c>
      <x:c r="J185" s="36" t="n">
        <x:v>0.4803505699795108</x:v>
      </x:c>
      <x:c r="K185" s="23" t="n">
        <x:f>0.5*(ABS(H185-E185)+ABS(I185-F185)+ABS(J185-G185))*100</x:f>
        <x:v>23.21308707085423</x:v>
      </x:c>
      <x:c r="L185" s="20" t="n">
        <x:v>24</x:v>
      </x:c>
    </x:row>
    <x:row r="186">
      <x:c r="A186" s="20" t="str">
        <x:v>rf</x:v>
      </x:c>
      <x:c r="B186" s="20" t="str">
        <x:v>DQ12-TB12-TH12.csv</x:v>
      </x:c>
      <x:c r="C186" s="20" t="n">
        <x:v>1</x:v>
      </x:c>
      <x:c r="D186" s="20" t="str">
        <x:v>ternary</x:v>
      </x:c>
      <x:c r="E186" s="36" t="n">
        <x:v>0.3333333432674408</x:v>
      </x:c>
      <x:c r="F186" s="36" t="n">
        <x:v>0.3333333432674408</x:v>
      </x:c>
      <x:c r="G186" s="36" t="n">
        <x:v>0.3333333432674408</x:v>
      </x:c>
      <x:c r="H186" s="36" t="n">
        <x:v>0.2513978591658352</x:v>
      </x:c>
      <x:c r="I186" s="36" t="n">
        <x:v>0.433451095723997</x:v>
      </x:c>
      <x:c r="J186" s="36" t="n">
        <x:v>0.31515104510916764</x:v>
      </x:c>
      <x:c r="K186" s="23" t="n">
        <x:f>0.5*(ABS(H186-E186)+ABS(I186-F186)+ABS(J186-G186))*100</x:f>
        <x:v>10.011776735821748</x:v>
      </x:c>
      <x:c r="L186" s="20" t="n">
        <x:v>24</x:v>
      </x:c>
    </x:row>
    <x:row r="187">
      <x:c r="A187" s="20" t="str">
        <x:v>rf</x:v>
      </x:c>
      <x:c r="B187" s="20" t="str">
        <x:v>DQ12-TB3-TH24.csv</x:v>
      </x:c>
      <x:c r="C187" s="20" t="n">
        <x:v>1</x:v>
      </x:c>
      <x:c r="D187" s="20" t="str">
        <x:v>ternary</x:v>
      </x:c>
      <x:c r="E187" s="36" t="n">
        <x:v>0.3076923191547394</x:v>
      </x:c>
      <x:c r="F187" s="36" t="n">
        <x:v>0.07692307978868484</x:v>
      </x:c>
      <x:c r="G187" s="36" t="n">
        <x:v>0.6153846383094788</x:v>
      </x:c>
      <x:c r="H187" s="36" t="n">
        <x:v>0.3478217102532841</x:v>
      </x:c>
      <x:c r="I187" s="36" t="n">
        <x:v>0.1912166159555847</x:v>
      </x:c>
      <x:c r="J187" s="36" t="n">
        <x:v>0.46096167379013125</x:v>
      </x:c>
      <x:c r="K187" s="23" t="n">
        <x:f>0.5*(ABS(H187-E187)+ABS(I187-F187)+ABS(J187-G187))*100</x:f>
        <x:v>15.442294589239605</x:v>
      </x:c>
      <x:c r="L187" s="20" t="n">
        <x:v>24</x:v>
      </x:c>
    </x:row>
    <x:row r="188">
      <x:c r="A188" s="20" t="str">
        <x:v>rf</x:v>
      </x:c>
      <x:c r="B188" s="20" t="str">
        <x:v>DQ150-TB50-TH0.csv</x:v>
      </x:c>
      <x:c r="C188" s="20" t="n">
        <x:v>1</x:v>
      </x:c>
      <x:c r="D188" s="20" t="str">
        <x:v>binary</x:v>
      </x:c>
      <x:c r="E188" s="36" t="n">
        <x:v>0.75</x:v>
      </x:c>
      <x:c r="F188" s="36" t="n">
        <x:v>0.25</x:v>
      </x:c>
      <x:c r="G188" s="36" t="n">
        <x:v>0</x:v>
      </x:c>
      <x:c r="H188" s="36" t="n">
        <x:v>0.4926440256489016</x:v>
      </x:c>
      <x:c r="I188" s="36" t="n">
        <x:v>0.4402082178863361</x:v>
      </x:c>
      <x:c r="J188" s="36" t="n">
        <x:v>0.06714775646376216</x:v>
      </x:c>
      <x:c r="K188" s="23" t="n">
        <x:f>0.5*(ABS(H188-E188)+ABS(I188-F188)+ABS(J188-G188))*100</x:f>
        <x:v>25.73559743505983</x:v>
      </x:c>
      <x:c r="L188" s="20" t="n">
        <x:v>24</x:v>
      </x:c>
    </x:row>
    <x:row r="189">
      <x:c r="A189" s="20" t="str">
        <x:v>rf</x:v>
      </x:c>
      <x:c r="B189" s="20" t="str">
        <x:v>DQ24-TB24-TH24.csv</x:v>
      </x:c>
      <x:c r="C189" s="20" t="n">
        <x:v>1</x:v>
      </x:c>
      <x:c r="D189" s="20" t="str">
        <x:v>ternary</x:v>
      </x:c>
      <x:c r="E189" s="36" t="n">
        <x:v>0.3333333432674408</x:v>
      </x:c>
      <x:c r="F189" s="36" t="n">
        <x:v>0.3333333432674408</x:v>
      </x:c>
      <x:c r="G189" s="36" t="n">
        <x:v>0.3333333432674408</x:v>
      </x:c>
      <x:c r="H189" s="36" t="n">
        <x:v>0.17774358258887413</x:v>
      </x:c>
      <x:c r="I189" s="36" t="n">
        <x:v>0.4696431628846414</x:v>
      </x:c>
      <x:c r="J189" s="36" t="n">
        <x:v>0.3526132545254843</x:v>
      </x:c>
      <x:c r="K189" s="23" t="n">
        <x:f>0.5*(ABS(H189-E189)+ABS(I189-F189)+ABS(J189-G189))*100</x:f>
        <x:v>15.55897457769054</x:v>
      </x:c>
      <x:c r="L189" s="20" t="n">
        <x:v>24</x:v>
      </x:c>
    </x:row>
    <x:row r="190">
      <x:c r="A190" s="20" t="str">
        <x:v>rf</x:v>
      </x:c>
      <x:c r="B190" s="20" t="str">
        <x:v>DQ250-TB0-TH50.csv</x:v>
      </x:c>
      <x:c r="C190" s="20" t="n">
        <x:v>1</x:v>
      </x:c>
      <x:c r="D190" s="20" t="str">
        <x:v>binary</x:v>
      </x:c>
      <x:c r="E190" s="36" t="n">
        <x:v>0.8333333134651184</x:v>
      </x:c>
      <x:c r="F190" s="36" t="n">
        <x:v>0</x:v>
      </x:c>
      <x:c r="G190" s="36" t="n">
        <x:v>0.1666666716337204</x:v>
      </x:c>
      <x:c r="H190" s="36" t="n">
        <x:v>0.35006375512312765</x:v>
      </x:c>
      <x:c r="I190" s="36" t="n">
        <x:v>0.1672367690652531</x:v>
      </x:c>
      <x:c r="J190" s="36" t="n">
        <x:v>0.4826994758106193</x:v>
      </x:c>
      <x:c r="K190" s="23" t="n">
        <x:f>0.5*(ABS(H190-E190)+ABS(I190-F190)+ABS(J190-G190))*100</x:f>
        <x:v>48.326956579207135</x:v>
      </x:c>
      <x:c r="L190" s="20" t="n">
        <x:v>24</x:v>
      </x:c>
    </x:row>
    <x:row r="191">
      <x:c r="A191" s="20" t="str">
        <x:v>rf</x:v>
      </x:c>
      <x:c r="B191" s="20" t="str">
        <x:v>DQ3-TB12-TH12.csv</x:v>
      </x:c>
      <x:c r="C191" s="20" t="n">
        <x:v>1</x:v>
      </x:c>
      <x:c r="D191" s="20" t="str">
        <x:v>ternary</x:v>
      </x:c>
      <x:c r="E191" s="36" t="n">
        <x:v>0.1111111119389534</x:v>
      </x:c>
      <x:c r="F191" s="36" t="n">
        <x:v>0.4444444477558136</x:v>
      </x:c>
      <x:c r="G191" s="36" t="n">
        <x:v>0.4444444477558136</x:v>
      </x:c>
      <x:c r="H191" s="36" t="n">
        <x:v>0.25531618882319845</x:v>
      </x:c>
      <x:c r="I191" s="36" t="n">
        <x:v>0.25300623252804916</x:v>
      </x:c>
      <x:c r="J191" s="36" t="n">
        <x:v>0.49167757864775236</x:v>
      </x:c>
      <x:c r="K191" s="23" t="n">
        <x:f>0.5*(ABS(H191-E191)+ABS(I191-F191)+ABS(J191-G191))*100</x:f>
        <x:v>19.14382115019741</x:v>
      </x:c>
      <x:c r="L191" s="20" t="n">
        <x:v>24</x:v>
      </x:c>
    </x:row>
    <x:row r="192">
      <x:c r="A192" s="20" t="str">
        <x:v>rf</x:v>
      </x:c>
      <x:c r="B192" s="20" t="str">
        <x:v>DQ3-TB12-TH3.csv</x:v>
      </x:c>
      <x:c r="C192" s="20" t="n">
        <x:v>1</x:v>
      </x:c>
      <x:c r="D192" s="20" t="str">
        <x:v>ternary</x:v>
      </x:c>
      <x:c r="E192" s="36" t="n">
        <x:v>0.1666666716337204</x:v>
      </x:c>
      <x:c r="F192" s="36" t="n">
        <x:v>0.6666666865348816</x:v>
      </x:c>
      <x:c r="G192" s="36" t="n">
        <x:v>0.1666666716337204</x:v>
      </x:c>
      <x:c r="H192" s="36" t="n">
        <x:v>0.22664250323037619</x:v>
      </x:c>
      <x:c r="I192" s="36" t="n">
        <x:v>0.5203060905303294</x:v>
      </x:c>
      <x:c r="J192" s="36" t="n">
        <x:v>0.25305140623829436</x:v>
      </x:c>
      <x:c r="K192" s="23" t="n">
        <x:f>0.5*(ABS(H192-E192)+ABS(I192-F192)+ABS(J192-G192))*100</x:f>
        <x:v>14.636058110289095</x:v>
      </x:c>
      <x:c r="L192" s="20" t="n">
        <x:v>24</x:v>
      </x:c>
    </x:row>
    <x:row r="193">
      <x:c r="A193" s="20" t="str">
        <x:v>rf</x:v>
      </x:c>
      <x:c r="B193" s="20" t="str">
        <x:v>DQ3-TB3-TH3.csv</x:v>
      </x:c>
      <x:c r="C193" s="20" t="n">
        <x:v>1</x:v>
      </x:c>
      <x:c r="D193" s="20" t="str">
        <x:v>ternary</x:v>
      </x:c>
      <x:c r="E193" s="36" t="n">
        <x:v>0.3333333432674408</x:v>
      </x:c>
      <x:c r="F193" s="36" t="n">
        <x:v>0.3333333432674408</x:v>
      </x:c>
      <x:c r="G193" s="36" t="n">
        <x:v>0.3333333432674408</x:v>
      </x:c>
      <x:c r="H193" s="36" t="n">
        <x:v>0.3686914769828123</x:v>
      </x:c>
      <x:c r="I193" s="36" t="n">
        <x:v>0.33077818699166944</x:v>
      </x:c>
      <x:c r="J193" s="36" t="n">
        <x:v>0.3005303360245181</x:v>
      </x:c>
      <x:c r="K193" s="23" t="n">
        <x:f>0.5*(ABS(H193-E193)+ABS(I193-F193)+ABS(J193-G193))*100</x:f>
        <x:v>3.5358148617032765</x:v>
      </x:c>
      <x:c r="L193" s="20" t="n">
        <x:v>24</x:v>
      </x:c>
    </x:row>
    <x:row r="194">
      <x:c r="A194" s="20" t="str">
        <x:v>rf</x:v>
      </x:c>
      <x:c r="B194" s="20" t="str">
        <x:v>DQ333-TB333-TH333.csv</x:v>
      </x:c>
      <x:c r="C194" s="20" t="n">
        <x:v>1</x:v>
      </x:c>
      <x:c r="D194" s="20" t="str">
        <x:v>ternary</x:v>
      </x:c>
      <x:c r="E194" s="36" t="n">
        <x:v>0.3333333432674408</x:v>
      </x:c>
      <x:c r="F194" s="36" t="n">
        <x:v>0.3333333432674408</x:v>
      </x:c>
      <x:c r="G194" s="36" t="n">
        <x:v>0.3333333432674408</x:v>
      </x:c>
      <x:c r="H194" s="36" t="n">
        <x:v>0.3864560662073087</x:v>
      </x:c>
      <x:c r="I194" s="36" t="n">
        <x:v>0.14204216183974716</x:v>
      </x:c>
      <x:c r="J194" s="36" t="n">
        <x:v>0.47150177195194404</x:v>
      </x:c>
      <x:c r="K194" s="23" t="n">
        <x:f>0.5*(ABS(H194-E194)+ABS(I194-F194)+ABS(J194-G194))*100</x:f>
        <x:v>19.12911665260324</x:v>
      </x:c>
      <x:c r="L194" s="20" t="n">
        <x:v>24</x:v>
      </x:c>
    </x:row>
    <x:row r="195">
      <x:c r="A195" s="20" t="str">
        <x:v>rf</x:v>
      </x:c>
      <x:c r="B195" s="20" t="str">
        <x:v>DQ50-TB0-TH250.csv</x:v>
      </x:c>
      <x:c r="C195" s="20" t="n">
        <x:v>1</x:v>
      </x:c>
      <x:c r="D195" s="20" t="str">
        <x:v>binary</x:v>
      </x:c>
      <x:c r="E195" s="36" t="n">
        <x:v>0.1666666716337204</x:v>
      </x:c>
      <x:c r="F195" s="36" t="n">
        <x:v>0</x:v>
      </x:c>
      <x:c r="G195" s="36" t="n">
        <x:v>0.8333333134651184</x:v>
      </x:c>
      <x:c r="H195" s="36" t="n">
        <x:v>0.252308097527503</x:v>
      </x:c>
      <x:c r="I195" s="36" t="n">
        <x:v>0.17238738093733597</x:v>
      </x:c>
      <x:c r="J195" s="36" t="n">
        <x:v>0.5753045215341609</x:v>
      </x:c>
      <x:c r="K195" s="23" t="n">
        <x:f>0.5*(ABS(H195-E195)+ABS(I195-F195)+ABS(J195-G195))*100</x:f>
        <x:v>25.802879938103807</x:v>
      </x:c>
      <x:c r="L195" s="20" t="n">
        <x:v>24</x:v>
      </x:c>
    </x:row>
    <x:row r="196">
      <x:c r="A196" s="20" t="str">
        <x:v>rf</x:v>
      </x:c>
      <x:c r="B196" s="20" t="str">
        <x:v>DQ500-TB50-TH0.csv</x:v>
      </x:c>
      <x:c r="C196" s="20" t="n">
        <x:v>1</x:v>
      </x:c>
      <x:c r="D196" s="20" t="str">
        <x:v>binary</x:v>
      </x:c>
      <x:c r="E196" s="36" t="n">
        <x:v>0.9090909361839294</x:v>
      </x:c>
      <x:c r="F196" s="36" t="n">
        <x:v>0.09090909361839294</x:v>
      </x:c>
      <x:c r="G196" s="36" t="n">
        <x:v>0</x:v>
      </x:c>
      <x:c r="H196" s="36" t="n">
        <x:v>0.5201759970941072</x:v>
      </x:c>
      <x:c r="I196" s="36" t="n">
        <x:v>0.43530908396070805</x:v>
      </x:c>
      <x:c r="J196" s="36" t="n">
        <x:v>0.04451491894418467</x:v>
      </x:c>
      <x:c r="K196" s="23" t="n">
        <x:f>0.5*(ABS(H196-E196)+ABS(I196-F196)+ABS(J196-G196))*100</x:f>
        <x:v>38.8914924188161</x:v>
      </x:c>
      <x:c r="L196" s="20" t="n">
        <x:v>24</x:v>
      </x:c>
    </x:row>
    <x:row r="197">
      <x:c r="A197" s="20" t="str">
        <x:v>rf</x:v>
      </x:c>
      <x:c r="B197" s="20" t="str">
        <x:v>DQ6-TB24-TH24.csv</x:v>
      </x:c>
      <x:c r="C197" s="20" t="n">
        <x:v>1</x:v>
      </x:c>
      <x:c r="D197" s="20" t="str">
        <x:v>ternary</x:v>
      </x:c>
      <x:c r="E197" s="36" t="n">
        <x:v>0.1111111119389534</x:v>
      </x:c>
      <x:c r="F197" s="36" t="n">
        <x:v>0.4444444477558136</x:v>
      </x:c>
      <x:c r="G197" s="36" t="n">
        <x:v>0.4444444477558136</x:v>
      </x:c>
      <x:c r="H197" s="36" t="n">
        <x:v>0.23691361741482694</x:v>
      </x:c>
      <x:c r="I197" s="36" t="n">
        <x:v>0.46827240122300046</x:v>
      </x:c>
      <x:c r="J197" s="36" t="n">
        <x:v>0.29481398136117254</x:v>
      </x:c>
      <x:c r="K197" s="23" t="n">
        <x:f>0.5*(ABS(H197-E197)+ABS(I197-F197)+ABS(J197-G197))*100</x:f>
        <x:v>14.963046266885073</x:v>
      </x:c>
      <x:c r="L197" s="20" t="n">
        <x:v>24</x:v>
      </x:c>
    </x:row>
    <x:row r="198">
      <x:c r="A198" s="20" t="str">
        <x:v>rf</x:v>
      </x:c>
      <x:c r="B198" s="20" t="str">
        <x:v>DQ6-TB24-TH6.csv</x:v>
      </x:c>
      <x:c r="C198" s="20" t="n">
        <x:v>1</x:v>
      </x:c>
      <x:c r="D198" s="20" t="str">
        <x:v>ternary</x:v>
      </x:c>
      <x:c r="E198" s="36" t="n">
        <x:v>0.1666666716337204</x:v>
      </x:c>
      <x:c r="F198" s="36" t="n">
        <x:v>0.6666666865348816</x:v>
      </x:c>
      <x:c r="G198" s="36" t="n">
        <x:v>0.1666666716337204</x:v>
      </x:c>
      <x:c r="H198" s="36" t="n">
        <x:v>0.26249711843024665</x:v>
      </x:c>
      <x:c r="I198" s="36" t="n">
        <x:v>0.5283123388915695</x:v>
      </x:c>
      <x:c r="J198" s="36" t="n">
        <x:v>0.20919054267718395</x:v>
      </x:c>
      <x:c r="K198" s="23" t="n">
        <x:f>0.5*(ABS(H198-E198)+ABS(I198-F198)+ABS(J198-G198))*100</x:f>
        <x:v>13.835433274165096</x:v>
      </x:c>
      <x:c r="L198" s="20" t="n">
        <x:v>24</x:v>
      </x:c>
    </x:row>
    <x:row r="199">
      <x:c r="A199" s="20" t="str">
        <x:v>rf</x:v>
      </x:c>
      <x:c r="B199" s="20" t="str">
        <x:v>DQ6-TB3-TH24.csv</x:v>
      </x:c>
      <x:c r="C199" s="20" t="n">
        <x:v>1</x:v>
      </x:c>
      <x:c r="D199" s="20" t="str">
        <x:v>ternary</x:v>
      </x:c>
      <x:c r="E199" s="36" t="n">
        <x:v>0.1818181872367859</x:v>
      </x:c>
      <x:c r="F199" s="36" t="n">
        <x:v>0.09090909361839294</x:v>
      </x:c>
      <x:c r="G199" s="36" t="n">
        <x:v>0.7272727489471436</x:v>
      </x:c>
      <x:c r="H199" s="36" t="n">
        <x:v>0.24357858358303</x:v>
      </x:c>
      <x:c r="I199" s="36" t="n">
        <x:v>0.19301498127326644</x:v>
      </x:c>
      <x:c r="J199" s="36" t="n">
        <x:v>0.5634064351427034</x:v>
      </x:c>
      <x:c r="K199" s="23" t="n">
        <x:f>0.5*(ABS(H199-E199)+ABS(I199-F199)+ABS(J199-G199))*100</x:f>
        <x:v>16.386629890277888</x:v>
      </x:c>
      <x:c r="L199" s="20" t="n">
        <x:v>24</x:v>
      </x:c>
    </x:row>
    <x:row r="200">
      <x:c r="A200" s="20" t="str">
        <x:v>rf</x:v>
      </x:c>
      <x:c r="B200" s="20" t="str">
        <x:v>DQ6-TB6-TH6.csv</x:v>
      </x:c>
      <x:c r="C200" s="20" t="n">
        <x:v>1</x:v>
      </x:c>
      <x:c r="D200" s="20" t="str">
        <x:v>ternary</x:v>
      </x:c>
      <x:c r="E200" s="36" t="n">
        <x:v>0.3333333432674408</x:v>
      </x:c>
      <x:c r="F200" s="36" t="n">
        <x:v>0.3333333432674408</x:v>
      </x:c>
      <x:c r="G200" s="36" t="n">
        <x:v>0.3333333432674408</x:v>
      </x:c>
      <x:c r="H200" s="36" t="n">
        <x:v>0.38175032810055837</x:v>
      </x:c>
      <x:c r="I200" s="36" t="n">
        <x:v>0.352165657261078</x:v>
      </x:c>
      <x:c r="J200" s="36" t="n">
        <x:v>0.2660840146373636</x:v>
      </x:c>
      <x:c r="K200" s="23" t="n">
        <x:f>0.5*(ABS(H200-E200)+ABS(I200-F200)+ABS(J200-G200))*100</x:f>
        <x:v>6.7249313728416</x:v>
      </x:c>
      <x:c r="L200" s="20" t="n">
        <x:v>24</x:v>
      </x:c>
    </x:row>
    <x:row r="201">
      <x:c r="A201" s="20" t="str">
        <x:v>rf</x:v>
      </x:c>
      <x:c r="B201" s="20" t="str">
        <x:v>DQ0-TB250-TH50.csv</x:v>
      </x:c>
      <x:c r="C201" s="20" t="n">
        <x:v>2</x:v>
      </x:c>
      <x:c r="D201" s="20" t="str">
        <x:v>binary</x:v>
      </x:c>
      <x:c r="E201" s="36" t="n">
        <x:v>0</x:v>
      </x:c>
      <x:c r="F201" s="36" t="n">
        <x:v>0.8333333134651184</x:v>
      </x:c>
      <x:c r="G201" s="36" t="n">
        <x:v>0.1666666716337204</x:v>
      </x:c>
      <x:c r="H201" s="36" t="n">
        <x:v>0.22132397460191752</x:v>
      </x:c>
      <x:c r="I201" s="36" t="n">
        <x:v>0.4075564310451442</x:v>
      </x:c>
      <x:c r="J201" s="36" t="n">
        <x:v>0.37111959435193814</x:v>
      </x:c>
      <x:c r="K201" s="23" t="n">
        <x:f>0.5*(ABS(H201-E201)+ABS(I201-F201)+ABS(J201-G201))*100</x:f>
        <x:v>42.577688987005466</x:v>
      </x:c>
      <x:c r="L201" s="20" t="n">
        <x:v>24</x:v>
      </x:c>
    </x:row>
    <x:row r="202">
      <x:c r="A202" s="20" t="str">
        <x:v>rf</x:v>
      </x:c>
      <x:c r="B202" s="20" t="str">
        <x:v>DQ0-TB500-TH50.csv</x:v>
      </x:c>
      <x:c r="C202" s="20" t="n">
        <x:v>2</x:v>
      </x:c>
      <x:c r="D202" s="20" t="str">
        <x:v>binary</x:v>
      </x:c>
      <x:c r="E202" s="36" t="n">
        <x:v>0</x:v>
      </x:c>
      <x:c r="F202" s="36" t="n">
        <x:v>0.9090909361839294</x:v>
      </x:c>
      <x:c r="G202" s="36" t="n">
        <x:v>0.09090909361839294</x:v>
      </x:c>
      <x:c r="H202" s="36" t="n">
        <x:v>0.16975696701234247</x:v>
      </x:c>
      <x:c r="I202" s="36" t="n">
        <x:v>0.6254443131722088</x:v>
      </x:c>
      <x:c r="J202" s="36" t="n">
        <x:v>0.20479871981444853</x:v>
      </x:c>
      <x:c r="K202" s="23" t="n">
        <x:f>0.5*(ABS(H202-E202)+ABS(I202-F202)+ABS(J202-G202))*100</x:f>
        <x:v>28.364660811005933</x:v>
      </x:c>
      <x:c r="L202" s="20" t="n">
        <x:v>24</x:v>
      </x:c>
    </x:row>
    <x:row r="203">
      <x:c r="A203" s="20" t="str">
        <x:v>rf</x:v>
      </x:c>
      <x:c r="B203" s="20" t="str">
        <x:v>DQ12-TB12-TH24.csv</x:v>
      </x:c>
      <x:c r="C203" s="20" t="n">
        <x:v>2</x:v>
      </x:c>
      <x:c r="D203" s="20" t="str">
        <x:v>ternary</x:v>
      </x:c>
      <x:c r="E203" s="36" t="n">
        <x:v>0.25</x:v>
      </x:c>
      <x:c r="F203" s="36" t="n">
        <x:v>0.25</x:v>
      </x:c>
      <x:c r="G203" s="36" t="n">
        <x:v>0.5</x:v>
      </x:c>
      <x:c r="H203" s="36" t="n">
        <x:v>0.28407570782322417</x:v>
      </x:c>
      <x:c r="I203" s="36" t="n">
        <x:v>0.298808862693813</x:v>
      </x:c>
      <x:c r="J203" s="36" t="n">
        <x:v>0.4171154294819626</x:v>
      </x:c>
      <x:c r="K203" s="23" t="n">
        <x:f>0.5*(ABS(H203-E203)+ABS(I203-F203)+ABS(J203-G203))*100</x:f>
        <x:v>8.288457051753728</x:v>
      </x:c>
      <x:c r="L203" s="20" t="n">
        <x:v>24</x:v>
      </x:c>
    </x:row>
    <x:row r="204">
      <x:c r="A204" s="20" t="str">
        <x:v>rf</x:v>
      </x:c>
      <x:c r="B204" s="20" t="str">
        <x:v>DQ12-TB24-TH6.csv</x:v>
      </x:c>
      <x:c r="C204" s="20" t="n">
        <x:v>2</x:v>
      </x:c>
      <x:c r="D204" s="20" t="str">
        <x:v>ternary</x:v>
      </x:c>
      <x:c r="E204" s="36" t="n">
        <x:v>0.2857142984867096</x:v>
      </x:c>
      <x:c r="F204" s="36" t="n">
        <x:v>0.5714285969734192</x:v>
      </x:c>
      <x:c r="G204" s="36" t="n">
        <x:v>0.1428571492433548</x:v>
      </x:c>
      <x:c r="H204" s="36" t="n">
        <x:v>0.2579610140404042</x:v>
      </x:c>
      <x:c r="I204" s="36" t="n">
        <x:v>0.5625783278515369</x:v>
      </x:c>
      <x:c r="J204" s="36" t="n">
        <x:v>0.17946065810705872</x:v>
      </x:c>
      <x:c r="K204" s="23" t="n">
        <x:f>0.5*(ABS(H204-E204)+ABS(I204-F204)+ABS(J204-G204))*100</x:f>
        <x:v>3.660353121594577</x:v>
      </x:c>
      <x:c r="L204" s="20" t="n">
        <x:v>24</x:v>
      </x:c>
    </x:row>
    <x:row r="205">
      <x:c r="A205" s="20" t="str">
        <x:v>rf</x:v>
      </x:c>
      <x:c r="B205" s="20" t="str">
        <x:v>DQ12-TB3-TH3.csv</x:v>
      </x:c>
      <x:c r="C205" s="20" t="n">
        <x:v>2</x:v>
      </x:c>
      <x:c r="D205" s="20" t="str">
        <x:v>ternary</x:v>
      </x:c>
      <x:c r="E205" s="36" t="n">
        <x:v>0.6666666865348816</x:v>
      </x:c>
      <x:c r="F205" s="36" t="n">
        <x:v>0.1666666716337204</x:v>
      </x:c>
      <x:c r="G205" s="36" t="n">
        <x:v>0.1666666716337204</x:v>
      </x:c>
      <x:c r="H205" s="36" t="n">
        <x:v>0.46856378129244475</x:v>
      </x:c>
      <x:c r="I205" s="36" t="n">
        <x:v>0.2787263901227266</x:v>
      </x:c>
      <x:c r="J205" s="36" t="n">
        <x:v>0.25270982858382857</x:v>
      </x:c>
      <x:c r="K205" s="23" t="n">
        <x:f>0.5*(ABS(H205-E205)+ABS(I205-F205)+ABS(J205-G205))*100</x:f>
        <x:v>19.81028903407756</x:v>
      </x:c>
      <x:c r="L205" s="20" t="n">
        <x:v>24</x:v>
      </x:c>
    </x:row>
    <x:row r="206">
      <x:c r="A206" s="20" t="str">
        <x:v>rf</x:v>
      </x:c>
      <x:c r="B206" s="20" t="str">
        <x:v>DQ12-TB6-TH6.csv</x:v>
      </x:c>
      <x:c r="C206" s="20" t="n">
        <x:v>2</x:v>
      </x:c>
      <x:c r="D206" s="20" t="str">
        <x:v>ternary</x:v>
      </x:c>
      <x:c r="E206" s="36" t="n">
        <x:v>0.5</x:v>
      </x:c>
      <x:c r="F206" s="36" t="n">
        <x:v>0.25</x:v>
      </x:c>
      <x:c r="G206" s="36" t="n">
        <x:v>0.25</x:v>
      </x:c>
      <x:c r="H206" s="36" t="n">
        <x:v>0.3934278431160781</x:v>
      </x:c>
      <x:c r="I206" s="36" t="n">
        <x:v>0.2893488269006324</x:v>
      </x:c>
      <x:c r="J206" s="36" t="n">
        <x:v>0.3172233299822894</x:v>
      </x:c>
      <x:c r="K206" s="23" t="n">
        <x:f>0.5*(ABS(H206-E206)+ABS(I206-F206)+ABS(J206-G206))*100</x:f>
        <x:v>10.657215688342186</x:v>
      </x:c>
      <x:c r="L206" s="20" t="n">
        <x:v>24</x:v>
      </x:c>
    </x:row>
    <x:row r="207">
      <x:c r="A207" s="20" t="str">
        <x:v>rf</x:v>
      </x:c>
      <x:c r="B207" s="20" t="str">
        <x:v>DQ24-TB12-TH12.csv</x:v>
      </x:c>
      <x:c r="C207" s="20" t="n">
        <x:v>2</x:v>
      </x:c>
      <x:c r="D207" s="20" t="str">
        <x:v>ternary</x:v>
      </x:c>
      <x:c r="E207" s="36" t="n">
        <x:v>0.5</x:v>
      </x:c>
      <x:c r="F207" s="36" t="n">
        <x:v>0.25</x:v>
      </x:c>
      <x:c r="G207" s="36" t="n">
        <x:v>0.25</x:v>
      </x:c>
      <x:c r="H207" s="36" t="n">
        <x:v>0.4510293251836249</x:v>
      </x:c>
      <x:c r="I207" s="36" t="n">
        <x:v>0.20356076411614302</x:v>
      </x:c>
      <x:c r="J207" s="36" t="n">
        <x:v>0.34540991069923205</x:v>
      </x:c>
      <x:c r="K207" s="23" t="n">
        <x:f>0.5*(ABS(H207-E207)+ABS(I207-F207)+ABS(J207-G207))*100</x:f>
        <x:v>9.540991069973208</x:v>
      </x:c>
      <x:c r="L207" s="20" t="n">
        <x:v>24</x:v>
      </x:c>
    </x:row>
    <x:row r="208">
      <x:c r="A208" s="20" t="str">
        <x:v>rf</x:v>
      </x:c>
      <x:c r="B208" s="20" t="str">
        <x:v>DQ24-TB12-TH3.csv</x:v>
      </x:c>
      <x:c r="C208" s="20" t="n">
        <x:v>2</x:v>
      </x:c>
      <x:c r="D208" s="20" t="str">
        <x:v>ternary</x:v>
      </x:c>
      <x:c r="E208" s="36" t="n">
        <x:v>0.6153846383094788</x:v>
      </x:c>
      <x:c r="F208" s="36" t="n">
        <x:v>0.3076923191547394</x:v>
      </x:c>
      <x:c r="G208" s="36" t="n">
        <x:v>0.07692307978868484</x:v>
      </x:c>
      <x:c r="H208" s="36" t="n">
        <x:v>0.5065822380396084</x:v>
      </x:c>
      <x:c r="I208" s="36" t="n">
        <x:v>0.34321547305495653</x:v>
      </x:c>
      <x:c r="J208" s="36" t="n">
        <x:v>0.150202288904435</x:v>
      </x:c>
      <x:c r="K208" s="23" t="n">
        <x:f>0.5*(ABS(H208-E208)+ABS(I208-F208)+ABS(J208-G208))*100</x:f>
        <x:v>10.88023816429188</x:v>
      </x:c>
      <x:c r="L208" s="20" t="n">
        <x:v>24</x:v>
      </x:c>
    </x:row>
    <x:row r="209">
      <x:c r="A209" s="20" t="str">
        <x:v>rf</x:v>
      </x:c>
      <x:c r="B209" s="20" t="str">
        <x:v>DQ24-TB6-TH6.csv</x:v>
      </x:c>
      <x:c r="C209" s="20" t="n">
        <x:v>2</x:v>
      </x:c>
      <x:c r="D209" s="20" t="str">
        <x:v>ternary</x:v>
      </x:c>
      <x:c r="E209" s="36" t="n">
        <x:v>0.6666666865348816</x:v>
      </x:c>
      <x:c r="F209" s="36" t="n">
        <x:v>0.1666666716337204</x:v>
      </x:c>
      <x:c r="G209" s="36" t="n">
        <x:v>0.1666666716337204</x:v>
      </x:c>
      <x:c r="H209" s="36" t="n">
        <x:v>0.3974417132586667</x:v>
      </x:c>
      <x:c r="I209" s="36" t="n">
        <x:v>0.31856123257589136</x:v>
      </x:c>
      <x:c r="J209" s="36" t="n">
        <x:v>0.2839970541644419</x:v>
      </x:c>
      <x:c r="K209" s="23" t="n">
        <x:f>0.5*(ABS(H209-E209)+ABS(I209-F209)+ABS(J209-G209))*100</x:f>
        <x:v>26.92249583745537</x:v>
      </x:c>
      <x:c r="L209" s="20" t="n">
        <x:v>24</x:v>
      </x:c>
    </x:row>
    <x:row r="210">
      <x:c r="A210" s="20" t="str">
        <x:v>rf</x:v>
      </x:c>
      <x:c r="B210" s="20" t="str">
        <x:v>DQ3-TB24-TH3.csv</x:v>
      </x:c>
      <x:c r="C210" s="20" t="n">
        <x:v>2</x:v>
      </x:c>
      <x:c r="D210" s="20" t="str">
        <x:v>ternary</x:v>
      </x:c>
      <x:c r="E210" s="36" t="n">
        <x:v>0.10000000149011612</x:v>
      </x:c>
      <x:c r="F210" s="36" t="n">
        <x:v>0.800000011920929</x:v>
      </x:c>
      <x:c r="G210" s="36" t="n">
        <x:v>0.10000000149011612</x:v>
      </x:c>
      <x:c r="H210" s="36" t="n">
        <x:v>0.23868641810388655</x:v>
      </x:c>
      <x:c r="I210" s="36" t="n">
        <x:v>0.5684313574262263</x:v>
      </x:c>
      <x:c r="J210" s="36" t="n">
        <x:v>0.192882224468887</x:v>
      </x:c>
      <x:c r="K210" s="23" t="n">
        <x:f>0.5*(ABS(H210-E210)+ABS(I210-F210)+ABS(J210-G210))*100</x:f>
        <x:v>23.1568647043622</x:v>
      </x:c>
      <x:c r="L210" s="20" t="n">
        <x:v>24</x:v>
      </x:c>
    </x:row>
    <x:row r="211">
      <x:c r="A211" s="20" t="str">
        <x:v>rf</x:v>
      </x:c>
      <x:c r="B211" s="20" t="str">
        <x:v>DQ3-TB3-TH24.csv</x:v>
      </x:c>
      <x:c r="C211" s="20" t="n">
        <x:v>2</x:v>
      </x:c>
      <x:c r="D211" s="20" t="str">
        <x:v>ternary</x:v>
      </x:c>
      <x:c r="E211" s="36" t="n">
        <x:v>0.10000000149011612</x:v>
      </x:c>
      <x:c r="F211" s="36" t="n">
        <x:v>0.10000000149011612</x:v>
      </x:c>
      <x:c r="G211" s="36" t="n">
        <x:v>0.800000011920929</x:v>
      </x:c>
      <x:c r="H211" s="36" t="n">
        <x:v>0.23807906815847912</x:v>
      </x:c>
      <x:c r="I211" s="36" t="n">
        <x:v>0.19647775104330087</x:v>
      </x:c>
      <x:c r="J211" s="36" t="n">
        <x:v>0.5654431807972199</x:v>
      </x:c>
      <x:c r="K211" s="23" t="n">
        <x:f>0.5*(ABS(H211-E211)+ABS(I211-F211)+ABS(J211-G211))*100</x:f>
        <x:v>23.455682367262842</x:v>
      </x:c>
      <x:c r="L211" s="20" t="n">
        <x:v>24</x:v>
      </x:c>
    </x:row>
    <x:row r="212">
      <x:c r="A212" s="20" t="str">
        <x:v>rf</x:v>
      </x:c>
      <x:c r="B212" s="20" t="str">
        <x:v>DQ3-TB3-TH6.csv</x:v>
      </x:c>
      <x:c r="C212" s="20" t="n">
        <x:v>2</x:v>
      </x:c>
      <x:c r="D212" s="20" t="str">
        <x:v>ternary</x:v>
      </x:c>
      <x:c r="E212" s="36" t="n">
        <x:v>0.25</x:v>
      </x:c>
      <x:c r="F212" s="36" t="n">
        <x:v>0.25</x:v>
      </x:c>
      <x:c r="G212" s="36" t="n">
        <x:v>0.5</x:v>
      </x:c>
      <x:c r="H212" s="36" t="n">
        <x:v>0.24828671026846713</x:v>
      </x:c>
      <x:c r="I212" s="36" t="n">
        <x:v>0.2942771517855806</x:v>
      </x:c>
      <x:c r="J212" s="36" t="n">
        <x:v>0.45743613794495225</x:v>
      </x:c>
      <x:c r="K212" s="23" t="n">
        <x:f>0.5*(ABS(H212-E212)+ABS(I212-F212)+ABS(J212-G212))*100</x:f>
        <x:v>4.427715178608062</x:v>
      </x:c>
      <x:c r="L212" s="20" t="n">
        <x:v>24</x:v>
      </x:c>
    </x:row>
    <x:row r="213">
      <x:c r="A213" s="20" t="str">
        <x:v>rf</x:v>
      </x:c>
      <x:c r="B213" s="20" t="str">
        <x:v>DQ333-TB333-TH33.csv</x:v>
      </x:c>
      <x:c r="C213" s="20" t="n">
        <x:v>2</x:v>
      </x:c>
      <x:c r="D213" s="20" t="str">
        <x:v>ternary</x:v>
      </x:c>
      <x:c r="E213" s="36" t="n">
        <x:v>0.4763948619365692</x:v>
      </x:c>
      <x:c r="F213" s="36" t="n">
        <x:v>0.4763948619365692</x:v>
      </x:c>
      <x:c r="G213" s="36" t="n">
        <x:v>0.04721030220389366</x:v>
      </x:c>
      <x:c r="H213" s="36" t="n">
        <x:v>0.5039407515197614</x:v>
      </x:c>
      <x:c r="I213" s="36" t="n">
        <x:v>0.28715728800746504</x:v>
      </x:c>
      <x:c r="J213" s="36" t="n">
        <x:v>0.20890196047177345</x:v>
      </x:c>
      <x:c r="K213" s="23" t="n">
        <x:f>0.5*(ABS(H213-E213)+ABS(I213-F213)+ABS(J213-G213))*100</x:f>
        <x:v>18.923756089008805</x:v>
      </x:c>
      <x:c r="L213" s="20" t="n">
        <x:v>24</x:v>
      </x:c>
    </x:row>
    <x:row r="214">
      <x:c r="A214" s="20" t="str">
        <x:v>rf</x:v>
      </x:c>
      <x:c r="B214" s="20" t="str">
        <x:v>DQ50-TB150-TH0.csv</x:v>
      </x:c>
      <x:c r="C214" s="20" t="n">
        <x:v>2</x:v>
      </x:c>
      <x:c r="D214" s="20" t="str">
        <x:v>binary</x:v>
      </x:c>
      <x:c r="E214" s="36" t="n">
        <x:v>0.25</x:v>
      </x:c>
      <x:c r="F214" s="36" t="n">
        <x:v>0.75</x:v>
      </x:c>
      <x:c r="G214" s="36" t="n">
        <x:v>0</x:v>
      </x:c>
      <x:c r="H214" s="36" t="n">
        <x:v>0.5555122047847025</x:v>
      </x:c>
      <x:c r="I214" s="36" t="n">
        <x:v>0.3782603118525083</x:v>
      </x:c>
      <x:c r="J214" s="36" t="n">
        <x:v>0.06622748336178898</x:v>
      </x:c>
      <x:c r="K214" s="23" t="n">
        <x:f>0.5*(ABS(H214-E214)+ABS(I214-F214)+ABS(J214-G214))*100</x:f>
        <x:v>37.17396881469916</x:v>
      </x:c>
      <x:c r="L214" s="20" t="n">
        <x:v>24</x:v>
      </x:c>
    </x:row>
    <x:row r="215">
      <x:c r="A215" s="20" t="str">
        <x:v>rf</x:v>
      </x:c>
      <x:c r="B215" s="20" t="str">
        <x:v>DQ500-TB0-TH500.csv</x:v>
      </x:c>
      <x:c r="C215" s="20" t="n">
        <x:v>2</x:v>
      </x:c>
      <x:c r="D215" s="20" t="str">
        <x:v>binary</x:v>
      </x:c>
      <x:c r="E215" s="36" t="n">
        <x:v>0.5</x:v>
      </x:c>
      <x:c r="F215" s="36" t="n">
        <x:v>0</x:v>
      </x:c>
      <x:c r="G215" s="36" t="n">
        <x:v>0.5</x:v>
      </x:c>
      <x:c r="H215" s="36" t="n">
        <x:v>0.3032377183768061</x:v>
      </x:c>
      <x:c r="I215" s="36" t="n">
        <x:v>0.1814648142351264</x:v>
      </x:c>
      <x:c r="J215" s="36" t="n">
        <x:v>0.5152974673870675</x:v>
      </x:c>
      <x:c r="K215" s="23" t="n">
        <x:f>0.5*(ABS(H215-E215)+ABS(I215-F215)+ABS(J215-G215))*100</x:f>
        <x:v>19.67622816226939</x:v>
      </x:c>
      <x:c r="L215" s="20" t="n">
        <x:v>24</x:v>
      </x:c>
    </x:row>
    <x:row r="216">
      <x:c r="A216" s="20" t="str">
        <x:v>rf</x:v>
      </x:c>
      <x:c r="B216" s="20" t="str">
        <x:v>DQ6-TB12-TH3.csv</x:v>
      </x:c>
      <x:c r="C216" s="20" t="n">
        <x:v>2</x:v>
      </x:c>
      <x:c r="D216" s="20" t="str">
        <x:v>ternary</x:v>
      </x:c>
      <x:c r="E216" s="36" t="n">
        <x:v>0.2857142984867096</x:v>
      </x:c>
      <x:c r="F216" s="36" t="n">
        <x:v>0.5714285969734192</x:v>
      </x:c>
      <x:c r="G216" s="36" t="n">
        <x:v>0.1428571492433548</x:v>
      </x:c>
      <x:c r="H216" s="36" t="n">
        <x:v>0.31776573577528283</x:v>
      </x:c>
      <x:c r="I216" s="36" t="n">
        <x:v>0.44985827483065705</x:v>
      </x:c>
      <x:c r="J216" s="36" t="n">
        <x:v>0.23237598939305984</x:v>
      </x:c>
      <x:c r="K216" s="23" t="n">
        <x:f>0.5*(ABS(H216-E216)+ABS(I216-F216)+ABS(J216-G216))*100</x:f>
        <x:v>12.157029979052021</x:v>
      </x:c>
      <x:c r="L216" s="20" t="n">
        <x:v>24</x:v>
      </x:c>
    </x:row>
    <x:row r="217">
      <x:c r="A217" s="20" t="str">
        <x:v>rf</x:v>
      </x:c>
      <x:c r="B217" s="20" t="str">
        <x:v>DQ6-TB3-TH3.csv</x:v>
      </x:c>
      <x:c r="C217" s="20" t="n">
        <x:v>2</x:v>
      </x:c>
      <x:c r="D217" s="20" t="str">
        <x:v>ternary</x:v>
      </x:c>
      <x:c r="E217" s="36" t="n">
        <x:v>0.5</x:v>
      </x:c>
      <x:c r="F217" s="36" t="n">
        <x:v>0.25</x:v>
      </x:c>
      <x:c r="G217" s="36" t="n">
        <x:v>0.25</x:v>
      </x:c>
      <x:c r="H217" s="36" t="n">
        <x:v>0.3874716555049025</x:v>
      </x:c>
      <x:c r="I217" s="36" t="n">
        <x:v>0.3137227363953614</x:v>
      </x:c>
      <x:c r="J217" s="36" t="n">
        <x:v>0.29880560809873596</x:v>
      </x:c>
      <x:c r="K217" s="23" t="n">
        <x:f>0.5*(ABS(H217-E217)+ABS(I217-F217)+ABS(J217-G217))*100</x:f>
        <x:v>11.252834449459744</x:v>
      </x:c>
      <x:c r="L217" s="20" t="n">
        <x:v>24</x:v>
      </x:c>
    </x:row>
    <x:row r="218">
      <x:c r="A218" s="20" t="str">
        <x:v>rf</x:v>
      </x:c>
      <x:c r="B218" s="20" t="str">
        <x:v>DQ6-TB6-TH12.csv</x:v>
      </x:c>
      <x:c r="C218" s="20" t="n">
        <x:v>2</x:v>
      </x:c>
      <x:c r="D218" s="20" t="str">
        <x:v>ternary</x:v>
      </x:c>
      <x:c r="E218" s="36" t="n">
        <x:v>0.25</x:v>
      </x:c>
      <x:c r="F218" s="36" t="n">
        <x:v>0.25</x:v>
      </x:c>
      <x:c r="G218" s="36" t="n">
        <x:v>0.5</x:v>
      </x:c>
      <x:c r="H218" s="36" t="n">
        <x:v>0.2942046531269911</x:v>
      </x:c>
      <x:c r="I218" s="36" t="n">
        <x:v>0.24410547304844407</x:v>
      </x:c>
      <x:c r="J218" s="36" t="n">
        <x:v>0.4616898738235647</x:v>
      </x:c>
      <x:c r="K218" s="23" t="n">
        <x:f>0.5*(ABS(H218-E218)+ABS(I218-F218)+ABS(J218-G218))*100</x:f>
        <x:v>4.420465312749118</x:v>
      </x:c>
      <x:c r="L218" s="20" t="n">
        <x:v>24</x:v>
      </x:c>
    </x:row>
    <x:row r="219">
      <x:c r="A219" s="20" t="str">
        <x:v>rf</x:v>
      </x:c>
      <x:c r="B219" s="20" t="str">
        <x:v>DQ12-TB12-TH6.csv</x:v>
      </x:c>
      <x:c r="C219" s="20" t="n">
        <x:v>3</x:v>
      </x:c>
      <x:c r="D219" s="20" t="str">
        <x:v>ternary</x:v>
      </x:c>
      <x:c r="E219" s="36" t="n">
        <x:v>0.4000000059604645</x:v>
      </x:c>
      <x:c r="F219" s="36" t="n">
        <x:v>0.4000000059604645</x:v>
      </x:c>
      <x:c r="G219" s="36" t="n">
        <x:v>0.20000000298023224</x:v>
      </x:c>
      <x:c r="H219" s="36" t="n">
        <x:v>0.35813167148093794</x:v>
      </x:c>
      <x:c r="I219" s="36" t="n">
        <x:v>0.4434940383279074</x:v>
      </x:c>
      <x:c r="J219" s="36" t="n">
        <x:v>0.19837429019015465</x:v>
      </x:c>
      <x:c r="K219" s="23" t="n">
        <x:f>0.5*(ABS(H219-E219)+ABS(I219-F219)+ABS(J219-G219))*100</x:f>
        <x:v>4.349403981852353</x:v>
      </x:c>
      <x:c r="L219" s="20" t="n">
        <x:v>24</x:v>
      </x:c>
    </x:row>
    <x:row r="220">
      <x:c r="A220" s="20" t="str">
        <x:v>rf</x:v>
      </x:c>
      <x:c r="B220" s="20" t="str">
        <x:v>DQ12-TB24-TH24.csv</x:v>
      </x:c>
      <x:c r="C220" s="20" t="n">
        <x:v>3</x:v>
      </x:c>
      <x:c r="D220" s="20" t="str">
        <x:v>ternary</x:v>
      </x:c>
      <x:c r="E220" s="36" t="n">
        <x:v>0.20000000298023224</x:v>
      </x:c>
      <x:c r="F220" s="36" t="n">
        <x:v>0.4000000059604645</x:v>
      </x:c>
      <x:c r="G220" s="36" t="n">
        <x:v>0.4000000059604645</x:v>
      </x:c>
      <x:c r="H220" s="36" t="n">
        <x:v>0.2134091571823471</x:v>
      </x:c>
      <x:c r="I220" s="36" t="n">
        <x:v>0.48005148914870727</x:v>
      </x:c>
      <x:c r="J220" s="36" t="n">
        <x:v>0.30653935366794566</x:v>
      </x:c>
      <x:c r="K220" s="23" t="n">
        <x:f>0.5*(ABS(H220-E220)+ABS(I220-F220)+ABS(J220-G220))*100</x:f>
        <x:v>9.346064484143824</x:v>
      </x:c>
      <x:c r="L220" s="20" t="n">
        <x:v>24</x:v>
      </x:c>
    </x:row>
    <x:row r="221">
      <x:c r="A221" s="20" t="str">
        <x:v>rf</x:v>
      </x:c>
      <x:c r="B221" s="20" t="str">
        <x:v>DQ12-TB24-TH3.csv</x:v>
      </x:c>
      <x:c r="C221" s="20" t="n">
        <x:v>3</x:v>
      </x:c>
      <x:c r="D221" s="20" t="str">
        <x:v>ternary</x:v>
      </x:c>
      <x:c r="E221" s="36" t="n">
        <x:v>0.3076923191547394</x:v>
      </x:c>
      <x:c r="F221" s="36" t="n">
        <x:v>0.6153846383094788</x:v>
      </x:c>
      <x:c r="G221" s="36" t="n">
        <x:v>0.07692307978868484</x:v>
      </x:c>
      <x:c r="H221" s="36" t="n">
        <x:v>0.347088541099507</x:v>
      </x:c>
      <x:c r="I221" s="36" t="n">
        <x:v>0.5230938606335961</x:v>
      </x:c>
      <x:c r="J221" s="36" t="n">
        <x:v>0.12981759826589676</x:v>
      </x:c>
      <x:c r="K221" s="23" t="n">
        <x:f>0.5*(ABS(H221-E221)+ABS(I221-F221)+ABS(J221-G221))*100</x:f>
        <x:v>9.22907590489311</x:v>
      </x:c>
      <x:c r="L221" s="20" t="n">
        <x:v>24</x:v>
      </x:c>
    </x:row>
    <x:row r="222">
      <x:c r="A222" s="20" t="str">
        <x:v>rf</x:v>
      </x:c>
      <x:c r="B222" s="20" t="str">
        <x:v>DQ12-TB3-TH12.csv</x:v>
      </x:c>
      <x:c r="C222" s="20" t="n">
        <x:v>3</x:v>
      </x:c>
      <x:c r="D222" s="20" t="str">
        <x:v>ternary</x:v>
      </x:c>
      <x:c r="E222" s="36" t="n">
        <x:v>0.4444444477558136</x:v>
      </x:c>
      <x:c r="F222" s="36" t="n">
        <x:v>0.1111111119389534</x:v>
      </x:c>
      <x:c r="G222" s="36" t="n">
        <x:v>0.4444444477558136</x:v>
      </x:c>
      <x:c r="H222" s="36" t="n">
        <x:v>0.3389177247226302</x:v>
      </x:c>
      <x:c r="I222" s="36" t="n">
        <x:v>0.2013982914504535</x:v>
      </x:c>
      <x:c r="J222" s="36" t="n">
        <x:v>0.4596839838259162</x:v>
      </x:c>
      <x:c r="K222" s="23" t="n">
        <x:f>0.5*(ABS(H222-E222)+ABS(I222-F222)+ABS(J222-G222))*100</x:f>
        <x:v>10.552671930739303</x:v>
      </x:c>
      <x:c r="L222" s="20" t="n">
        <x:v>24</x:v>
      </x:c>
    </x:row>
    <x:row r="223">
      <x:c r="A223" s="20" t="str">
        <x:v>rf</x:v>
      </x:c>
      <x:c r="B223" s="20" t="str">
        <x:v>DQ12-TB6-TH3.csv</x:v>
      </x:c>
      <x:c r="C223" s="20" t="n">
        <x:v>3</x:v>
      </x:c>
      <x:c r="D223" s="20" t="str">
        <x:v>ternary</x:v>
      </x:c>
      <x:c r="E223" s="36" t="n">
        <x:v>0.5714285969734192</x:v>
      </x:c>
      <x:c r="F223" s="36" t="n">
        <x:v>0.2857142984867096</x:v>
      </x:c>
      <x:c r="G223" s="36" t="n">
        <x:v>0.1428571492433548</x:v>
      </x:c>
      <x:c r="H223" s="36" t="n">
        <x:v>0.5054788797019459</x:v>
      </x:c>
      <x:c r="I223" s="36" t="n">
        <x:v>0.2564559947264872</x:v>
      </x:c>
      <x:c r="J223" s="36" t="n">
        <x:v>0.23806512557056683</x:v>
      </x:c>
      <x:c r="K223" s="23" t="n">
        <x:f>0.5*(ABS(H223-E223)+ABS(I223-F223)+ABS(J223-G223))*100</x:f>
        <x:v>9.520799867945383</x:v>
      </x:c>
      <x:c r="L223" s="20" t="n">
        <x:v>24</x:v>
      </x:c>
    </x:row>
    <x:row r="224">
      <x:c r="A224" s="20" t="str">
        <x:v>rf</x:v>
      </x:c>
      <x:c r="B224" s="20" t="str">
        <x:v>DQ24-TB12-TH6.csv</x:v>
      </x:c>
      <x:c r="C224" s="20" t="n">
        <x:v>3</x:v>
      </x:c>
      <x:c r="D224" s="20" t="str">
        <x:v>ternary</x:v>
      </x:c>
      <x:c r="E224" s="36" t="n">
        <x:v>0.5714285969734192</x:v>
      </x:c>
      <x:c r="F224" s="36" t="n">
        <x:v>0.2857142984867096</x:v>
      </x:c>
      <x:c r="G224" s="36" t="n">
        <x:v>0.1428571492433548</x:v>
      </x:c>
      <x:c r="H224" s="36" t="n">
        <x:v>0.60405424142858</x:v>
      </x:c>
      <x:c r="I224" s="36" t="n">
        <x:v>0.2369002170327638</x:v>
      </x:c>
      <x:c r="J224" s="36" t="n">
        <x:v>0.15904554153765613</x:v>
      </x:c>
      <x:c r="K224" s="23" t="n">
        <x:f>0.5*(ABS(H224-E224)+ABS(I224-F224)+ABS(J224-G224))*100</x:f>
        <x:v>4.881405910170397</x:v>
      </x:c>
      <x:c r="L224" s="20" t="n">
        <x:v>24</x:v>
      </x:c>
    </x:row>
    <x:row r="225">
      <x:c r="A225" s="20" t="str">
        <x:v>rf</x:v>
      </x:c>
      <x:c r="B225" s="20" t="str">
        <x:v>DQ24-TB24-TH12.csv</x:v>
      </x:c>
      <x:c r="C225" s="20" t="n">
        <x:v>3</x:v>
      </x:c>
      <x:c r="D225" s="20" t="str">
        <x:v>ternary</x:v>
      </x:c>
      <x:c r="E225" s="36" t="n">
        <x:v>0.4000000059604645</x:v>
      </x:c>
      <x:c r="F225" s="36" t="n">
        <x:v>0.4000000059604645</x:v>
      </x:c>
      <x:c r="G225" s="36" t="n">
        <x:v>0.20000000298023224</x:v>
      </x:c>
      <x:c r="H225" s="36" t="n">
        <x:v>0.3967786520039011</x:v>
      </x:c>
      <x:c r="I225" s="36" t="n">
        <x:v>0.29351602343720223</x:v>
      </x:c>
      <x:c r="J225" s="36" t="n">
        <x:v>0.3097053245578965</x:v>
      </x:c>
      <x:c r="K225" s="23" t="n">
        <x:f>0.5*(ABS(H225-E225)+ABS(I225-F225)+ABS(J225-G225))*100</x:f>
        <x:v>10.970532902874494</x:v>
      </x:c>
      <x:c r="L225" s="20" t="n">
        <x:v>24</x:v>
      </x:c>
    </x:row>
    <x:row r="226">
      <x:c r="A226" s="20" t="str">
        <x:v>rf</x:v>
      </x:c>
      <x:c r="B226" s="20" t="str">
        <x:v>DQ24-TB24-TH3.csv</x:v>
      </x:c>
      <x:c r="C226" s="20" t="n">
        <x:v>3</x:v>
      </x:c>
      <x:c r="D226" s="20" t="str">
        <x:v>ternary</x:v>
      </x:c>
      <x:c r="E226" s="36" t="n">
        <x:v>0.47058823704719543</x:v>
      </x:c>
      <x:c r="F226" s="36" t="n">
        <x:v>0.47058823704719543</x:v>
      </x:c>
      <x:c r="G226" s="36" t="n">
        <x:v>0.05882352963089943</x:v>
      </x:c>
      <x:c r="H226" s="36" t="n">
        <x:v>0.3185827701924738</x:v>
      </x:c>
      <x:c r="I226" s="36" t="n">
        <x:v>0.5283743586040569</x:v>
      </x:c>
      <x:c r="J226" s="36" t="n">
        <x:v>0.1530428712024691</x:v>
      </x:c>
      <x:c r="K226" s="23" t="n">
        <x:f>0.5*(ABS(H226-E226)+ABS(I226-F226)+ABS(J226-G226))*100</x:f>
        <x:v>15.20054649915764</x:v>
      </x:c>
      <x:c r="L226" s="20" t="n">
        <x:v>24</x:v>
      </x:c>
    </x:row>
    <x:row r="227">
      <x:c r="A227" s="20" t="str">
        <x:v>rf</x:v>
      </x:c>
      <x:c r="B227" s="20" t="str">
        <x:v>DQ24-TB6-TH24.csv</x:v>
      </x:c>
      <x:c r="C227" s="20" t="n">
        <x:v>3</x:v>
      </x:c>
      <x:c r="D227" s="20" t="str">
        <x:v>ternary</x:v>
      </x:c>
      <x:c r="E227" s="36" t="n">
        <x:v>0.4444444477558136</x:v>
      </x:c>
      <x:c r="F227" s="36" t="n">
        <x:v>0.1111111119389534</x:v>
      </x:c>
      <x:c r="G227" s="36" t="n">
        <x:v>0.4444444477558136</x:v>
      </x:c>
      <x:c r="H227" s="36" t="n">
        <x:v>0.396436834719381</x:v>
      </x:c>
      <x:c r="I227" s="36" t="n">
        <x:v>0.15924830331868084</x:v>
      </x:c>
      <x:c r="J227" s="36" t="n">
        <x:v>0.44431486196093783</x:v>
      </x:c>
      <x:c r="K227" s="23" t="n">
        <x:f>0.5*(ABS(H227-E227)+ABS(I227-F227)+ABS(J227-G227))*100</x:f>
        <x:v>4.813719510551789</x:v>
      </x:c>
      <x:c r="L227" s="20" t="n">
        <x:v>24</x:v>
      </x:c>
    </x:row>
    <x:row r="228">
      <x:c r="A228" s="20" t="str">
        <x:v>rf</x:v>
      </x:c>
      <x:c r="B228" s="20" t="str">
        <x:v>DQ250-TB50-TH0.csv</x:v>
      </x:c>
      <x:c r="C228" s="20" t="n">
        <x:v>3</x:v>
      </x:c>
      <x:c r="D228" s="20" t="str">
        <x:v>binary</x:v>
      </x:c>
      <x:c r="E228" s="36" t="n">
        <x:v>0.8333333134651184</x:v>
      </x:c>
      <x:c r="F228" s="36" t="n">
        <x:v>0.1666666716337204</x:v>
      </x:c>
      <x:c r="G228" s="36" t="n">
        <x:v>0</x:v>
      </x:c>
      <x:c r="H228" s="36" t="n">
        <x:v>0.6064658734629634</x:v>
      </x:c>
      <x:c r="I228" s="36" t="n">
        <x:v>0.3502562912802661</x:v>
      </x:c>
      <x:c r="J228" s="36" t="n">
        <x:v>0.043277835255770475</x:v>
      </x:c>
      <x:c r="K228" s="23" t="n">
        <x:f>0.5*(ABS(H228-E228)+ABS(I228-F228)+ABS(J228-G228))*100</x:f>
        <x:v>22.686744745223557</x:v>
      </x:c>
      <x:c r="L228" s="20" t="n">
        <x:v>24</x:v>
      </x:c>
    </x:row>
    <x:row r="229">
      <x:c r="A229" s="20" t="str">
        <x:v>rf</x:v>
      </x:c>
      <x:c r="B229" s="20" t="str">
        <x:v>DQ3-TB12-TH24.csv</x:v>
      </x:c>
      <x:c r="C229" s="20" t="n">
        <x:v>3</x:v>
      </x:c>
      <x:c r="D229" s="20" t="str">
        <x:v>ternary</x:v>
      </x:c>
      <x:c r="E229" s="36" t="n">
        <x:v>0.07692307978868484</x:v>
      </x:c>
      <x:c r="F229" s="36" t="n">
        <x:v>0.3076923191547394</x:v>
      </x:c>
      <x:c r="G229" s="36" t="n">
        <x:v>0.6153846383094788</x:v>
      </x:c>
      <x:c r="H229" s="36" t="n">
        <x:v>0.2562866718408298</x:v>
      </x:c>
      <x:c r="I229" s="36" t="n">
        <x:v>0.2017568711247604</x:v>
      </x:c>
      <x:c r="J229" s="36" t="n">
        <x:v>0.5419564570334096</x:v>
      </x:c>
      <x:c r="K229" s="23" t="n">
        <x:f>0.5*(ABS(H229-E229)+ABS(I229-F229)+ABS(J229-G229))*100</x:f>
        <x:v>17.936361067909658</x:v>
      </x:c>
      <x:c r="L229" s="20" t="n">
        <x:v>24</x:v>
      </x:c>
    </x:row>
    <x:row r="230">
      <x:c r="A230" s="20" t="str">
        <x:v>rf</x:v>
      </x:c>
      <x:c r="B230" s="20" t="str">
        <x:v>DQ3-TB6-TH6.csv</x:v>
      </x:c>
      <x:c r="C230" s="20" t="n">
        <x:v>3</x:v>
      </x:c>
      <x:c r="D230" s="20" t="str">
        <x:v>ternary</x:v>
      </x:c>
      <x:c r="E230" s="36" t="n">
        <x:v>0.20000000298023224</x:v>
      </x:c>
      <x:c r="F230" s="36" t="n">
        <x:v>0.4000000059604645</x:v>
      </x:c>
      <x:c r="G230" s="36" t="n">
        <x:v>0.4000000059604645</x:v>
      </x:c>
      <x:c r="H230" s="36" t="n">
        <x:v>0.2932052820340611</x:v>
      </x:c>
      <x:c r="I230" s="36" t="n">
        <x:v>0.2681719552762245</x:v>
      </x:c>
      <x:c r="J230" s="36" t="n">
        <x:v>0.4386227626887144</x:v>
      </x:c>
      <x:c r="K230" s="23" t="n">
        <x:f>0.5*(ABS(H230-E230)+ABS(I230-F230)+ABS(J230-G230))*100</x:f>
        <x:v>13.182804323315938</x:v>
      </x:c>
      <x:c r="L230" s="20" t="n">
        <x:v>24</x:v>
      </x:c>
    </x:row>
    <x:row r="231">
      <x:c r="A231" s="20" t="str">
        <x:v>rf</x:v>
      </x:c>
      <x:c r="B231" s="20" t="str">
        <x:v>DQ50-TB0-TH150.csv</x:v>
      </x:c>
      <x:c r="C231" s="20" t="n">
        <x:v>3</x:v>
      </x:c>
      <x:c r="D231" s="20" t="str">
        <x:v>binary</x:v>
      </x:c>
      <x:c r="E231" s="36" t="n">
        <x:v>0.25</x:v>
      </x:c>
      <x:c r="F231" s="36" t="n">
        <x:v>0</x:v>
      </x:c>
      <x:c r="G231" s="36" t="n">
        <x:v>0.75</x:v>
      </x:c>
      <x:c r="H231" s="36" t="n">
        <x:v>0.285851841802282</x:v>
      </x:c>
      <x:c r="I231" s="36" t="n">
        <x:v>0.19970182939857117</x:v>
      </x:c>
      <x:c r="J231" s="36" t="n">
        <x:v>0.5144463287981467</x:v>
      </x:c>
      <x:c r="K231" s="23" t="n">
        <x:f>0.5*(ABS(H231-E231)+ABS(I231-F231)+ABS(J231-G231))*100</x:f>
        <x:v>23.555367120135326</x:v>
      </x:c>
      <x:c r="L231" s="20" t="n">
        <x:v>24</x:v>
      </x:c>
    </x:row>
    <x:row r="232">
      <x:c r="A232" s="20" t="str">
        <x:v>rf</x:v>
      </x:c>
      <x:c r="B232" s="20" t="str">
        <x:v>DQ50-TB250-TH0.csv</x:v>
      </x:c>
      <x:c r="C232" s="20" t="n">
        <x:v>3</x:v>
      </x:c>
      <x:c r="D232" s="20" t="str">
        <x:v>binary</x:v>
      </x:c>
      <x:c r="E232" s="36" t="n">
        <x:v>0.1666666716337204</x:v>
      </x:c>
      <x:c r="F232" s="36" t="n">
        <x:v>0.8333333134651184</x:v>
      </x:c>
      <x:c r="G232" s="36" t="n">
        <x:v>0</x:v>
      </x:c>
      <x:c r="H232" s="36" t="n">
        <x:v>0.28981388907594835</x:v>
      </x:c>
      <x:c r="I232" s="36" t="n">
        <x:v>0.6313256154051602</x:v>
      </x:c>
      <x:c r="J232" s="36" t="n">
        <x:v>0.07886049551789141</x:v>
      </x:c>
      <x:c r="K232" s="23" t="n">
        <x:f>0.5*(ABS(H232-E232)+ABS(I232-F232)+ABS(J232-G232))*100</x:f>
        <x:v>20.20077055100388</x:v>
      </x:c>
      <x:c r="L232" s="20" t="n">
        <x:v>24</x:v>
      </x:c>
    </x:row>
    <x:row r="233">
      <x:c r="A233" s="20" t="str">
        <x:v>rf</x:v>
      </x:c>
      <x:c r="B233" s="20" t="str">
        <x:v>DQ500-TB0-TH50.csv</x:v>
      </x:c>
      <x:c r="C233" s="20" t="n">
        <x:v>3</x:v>
      </x:c>
      <x:c r="D233" s="20" t="str">
        <x:v>binary</x:v>
      </x:c>
      <x:c r="E233" s="36" t="n">
        <x:v>0.9090909361839294</x:v>
      </x:c>
      <x:c r="F233" s="36" t="n">
        <x:v>0</x:v>
      </x:c>
      <x:c r="G233" s="36" t="n">
        <x:v>0.09090909361839294</x:v>
      </x:c>
      <x:c r="H233" s="36" t="n">
        <x:v>0.4761953108727987</x:v>
      </x:c>
      <x:c r="I233" s="36" t="n">
        <x:v>0.21407629782745063</x:v>
      </x:c>
      <x:c r="J233" s="36" t="n">
        <x:v>0.30972839129875074</x:v>
      </x:c>
      <x:c r="K233" s="23" t="n">
        <x:f>0.5*(ABS(H233-E233)+ABS(I233-F233)+ABS(J233-G233))*100</x:f>
        <x:v>43.28956104094696</x:v>
      </x:c>
      <x:c r="L233" s="20" t="n">
        <x:v>24</x:v>
      </x:c>
    </x:row>
    <x:row r="234">
      <x:c r="A234" s="20" t="str">
        <x:v>rf</x:v>
      </x:c>
      <x:c r="B234" s="20" t="str">
        <x:v>DQ500-TB500-TH0.csv</x:v>
      </x:c>
      <x:c r="C234" s="20" t="n">
        <x:v>3</x:v>
      </x:c>
      <x:c r="D234" s="20" t="str">
        <x:v>binary</x:v>
      </x:c>
      <x:c r="E234" s="36" t="n">
        <x:v>0.5</x:v>
      </x:c>
      <x:c r="F234" s="36" t="n">
        <x:v>0.5</x:v>
      </x:c>
      <x:c r="G234" s="36" t="n">
        <x:v>0</x:v>
      </x:c>
      <x:c r="H234" s="36" t="n">
        <x:v>0.5778260723825093</x:v>
      </x:c>
      <x:c r="I234" s="36" t="n">
        <x:v>0.3395393800200634</x:v>
      </x:c>
      <x:c r="J234" s="36" t="n">
        <x:v>0.08263454759642712</x:v>
      </x:c>
      <x:c r="K234" s="23" t="n">
        <x:f>0.5*(ABS(H234-E234)+ABS(I234-F234)+ABS(J234-G234))*100</x:f>
        <x:v>16.04606199794365</x:v>
      </x:c>
      <x:c r="L234" s="20" t="n">
        <x:v>24</x:v>
      </x:c>
    </x:row>
    <x:row r="235">
      <x:c r="A235" s="20" t="str">
        <x:v>rf</x:v>
      </x:c>
      <x:c r="B235" s="20" t="str">
        <x:v>DQ6-TB12-TH12.csv</x:v>
      </x:c>
      <x:c r="C235" s="20" t="n">
        <x:v>3</x:v>
      </x:c>
      <x:c r="D235" s="20" t="str">
        <x:v>ternary</x:v>
      </x:c>
      <x:c r="E235" s="36" t="n">
        <x:v>0.20000000298023224</x:v>
      </x:c>
      <x:c r="F235" s="36" t="n">
        <x:v>0.4000000059604645</x:v>
      </x:c>
      <x:c r="G235" s="36" t="n">
        <x:v>0.4000000059604645</x:v>
      </x:c>
      <x:c r="H235" s="36" t="n">
        <x:v>0.21177827760769555</x:v>
      </x:c>
      <x:c r="I235" s="36" t="n">
        <x:v>0.438870214254717</x:v>
      </x:c>
      <x:c r="J235" s="36" t="n">
        <x:v>0.3493515081365874</x:v>
      </x:c>
      <x:c r="K235" s="23" t="n">
        <x:f>0.5*(ABS(H235-E235)+ABS(I235-F235)+ABS(J235-G235))*100</x:f>
        <x:v>5.064849037279647</x:v>
      </x:c>
      <x:c r="L235" s="20" t="n">
        <x:v>24</x:v>
      </x:c>
    </x:row>
    <x:row r="236">
      <x:c r="A236" s="20" t="str">
        <x:v>rf</x:v>
      </x:c>
      <x:c r="B236" s="20" t="str">
        <x:v>DQ6-TB6-TH3.csv</x:v>
      </x:c>
      <x:c r="C236" s="20" t="n">
        <x:v>3</x:v>
      </x:c>
      <x:c r="D236" s="20" t="str">
        <x:v>ternary</x:v>
      </x:c>
      <x:c r="E236" s="36" t="n">
        <x:v>0.4000000059604645</x:v>
      </x:c>
      <x:c r="F236" s="36" t="n">
        <x:v>0.4000000059604645</x:v>
      </x:c>
      <x:c r="G236" s="36" t="n">
        <x:v>0.20000000298023224</x:v>
      </x:c>
      <x:c r="H236" s="36" t="n">
        <x:v>0.396367407451163</x:v>
      </x:c>
      <x:c r="I236" s="36" t="n">
        <x:v>0.35210081087408923</x:v>
      </x:c>
      <x:c r="J236" s="36" t="n">
        <x:v>0.25153178167374773</x:v>
      </x:c>
      <x:c r="K236" s="23" t="n">
        <x:f>0.5*(ABS(H236-E236)+ABS(I236-F236)+ABS(J236-G236))*100</x:f>
        <x:v>5.153178614459611</x:v>
      </x:c>
      <x:c r="L236" s="20" t="n">
        <x:v>24</x:v>
      </x:c>
    </x:row>
    <x:row r="237">
      <x:c r="A237" s="20" t="str">
        <x:v>rf</x:v>
      </x:c>
      <x:c r="B237" s="20" t="str">
        <x:v>DQ0-TB150-TH50.csv</x:v>
      </x:c>
      <x:c r="C237" s="20" t="n">
        <x:v>4</x:v>
      </x:c>
      <x:c r="D237" s="20" t="str">
        <x:v>binary</x:v>
      </x:c>
      <x:c r="E237" s="36" t="n">
        <x:v>0</x:v>
      </x:c>
      <x:c r="F237" s="36" t="n">
        <x:v>0.75</x:v>
      </x:c>
      <x:c r="G237" s="36" t="n">
        <x:v>0.25</x:v>
      </x:c>
      <x:c r="H237" s="36" t="n">
        <x:v>0.17577481534251563</x:v>
      </x:c>
      <x:c r="I237" s="36" t="n">
        <x:v>0.5546538641595589</x:v>
      </x:c>
      <x:c r="J237" s="36" t="n">
        <x:v>0.26957132049692534</x:v>
      </x:c>
      <x:c r="K237" s="23" t="n">
        <x:f>0.5*(ABS(H237-E237)+ABS(I237-F237)+ABS(J237-G237))*100</x:f>
        <x:v>19.534613583994105</x:v>
      </x:c>
      <x:c r="L237" s="20" t="n">
        <x:v>24</x:v>
      </x:c>
    </x:row>
    <x:row r="238">
      <x:c r="A238" s="20" t="str">
        <x:v>rf</x:v>
      </x:c>
      <x:c r="B238" s="20" t="str">
        <x:v>DQ0-TB50-TH150.csv</x:v>
      </x:c>
      <x:c r="C238" s="20" t="n">
        <x:v>4</x:v>
      </x:c>
      <x:c r="D238" s="20" t="str">
        <x:v>binary</x:v>
      </x:c>
      <x:c r="E238" s="36" t="n">
        <x:v>0</x:v>
      </x:c>
      <x:c r="F238" s="36" t="n">
        <x:v>0.25</x:v>
      </x:c>
      <x:c r="G238" s="36" t="n">
        <x:v>0.75</x:v>
      </x:c>
      <x:c r="H238" s="36" t="n">
        <x:v>0.349978685522996</x:v>
      </x:c>
      <x:c r="I238" s="36" t="n">
        <x:v>0.22887926390918412</x:v>
      </x:c>
      <x:c r="J238" s="36" t="n">
        <x:v>0.4211420505668199</x:v>
      </x:c>
      <x:c r="K238" s="23" t="n">
        <x:f>0.5*(ABS(H238-E238)+ABS(I238-F238)+ABS(J238-G238))*100</x:f>
        <x:v>34.9978685523496</x:v>
      </x:c>
      <x:c r="L238" s="20" t="n">
        <x:v>24</x:v>
      </x:c>
    </x:row>
    <x:row r="239">
      <x:c r="A239" s="20" t="str">
        <x:v>rf</x:v>
      </x:c>
      <x:c r="B239" s="20" t="str">
        <x:v>DQ12-TB24-TH12.csv</x:v>
      </x:c>
      <x:c r="C239" s="20" t="n">
        <x:v>4</x:v>
      </x:c>
      <x:c r="D239" s="20" t="str">
        <x:v>ternary</x:v>
      </x:c>
      <x:c r="E239" s="36" t="n">
        <x:v>0.25</x:v>
      </x:c>
      <x:c r="F239" s="36" t="n">
        <x:v>0.5</x:v>
      </x:c>
      <x:c r="G239" s="36" t="n">
        <x:v>0.25</x:v>
      </x:c>
      <x:c r="H239" s="36" t="n">
        <x:v>0.18142057627219746</x:v>
      </x:c>
      <x:c r="I239" s="36" t="n">
        <x:v>0.5732215987855681</x:v>
      </x:c>
      <x:c r="J239" s="36" t="n">
        <x:v>0.24535782494123412</x:v>
      </x:c>
      <x:c r="K239" s="23" t="n">
        <x:f>0.5*(ABS(H239-E239)+ABS(I239-F239)+ABS(J239-G239))*100</x:f>
        <x:v>7.3221598786068265</x:v>
      </x:c>
      <x:c r="L239" s="20" t="n">
        <x:v>24</x:v>
      </x:c>
    </x:row>
    <x:row r="240">
      <x:c r="A240" s="20" t="str">
        <x:v>rf</x:v>
      </x:c>
      <x:c r="B240" s="20" t="str">
        <x:v>DQ12-TB6-TH24.csv</x:v>
      </x:c>
      <x:c r="C240" s="20" t="n">
        <x:v>4</x:v>
      </x:c>
      <x:c r="D240" s="20" t="str">
        <x:v>ternary</x:v>
      </x:c>
      <x:c r="E240" s="36" t="n">
        <x:v>0.2857142984867096</x:v>
      </x:c>
      <x:c r="F240" s="36" t="n">
        <x:v>0.1428571492433548</x:v>
      </x:c>
      <x:c r="G240" s="36" t="n">
        <x:v>0.5714285969734192</x:v>
      </x:c>
      <x:c r="H240" s="36" t="n">
        <x:v>0.39685813664427094</x:v>
      </x:c>
      <x:c r="I240" s="36" t="n">
        <x:v>0.15463538890313494</x:v>
      </x:c>
      <x:c r="J240" s="36" t="n">
        <x:v>0.44850647445159403</x:v>
      </x:c>
      <x:c r="K240" s="23" t="n">
        <x:f>0.5*(ABS(H240-E240)+ABS(I240-F240)+ABS(J240-G240))*100</x:f>
        <x:v>12.292210016958332</x:v>
      </x:c>
      <x:c r="L240" s="20" t="n">
        <x:v>24</x:v>
      </x:c>
    </x:row>
    <x:row r="241">
      <x:c r="A241" s="20" t="str">
        <x:v>rf</x:v>
      </x:c>
      <x:c r="B241" s="20" t="str">
        <x:v>DQ24-TB3-TH12.csv</x:v>
      </x:c>
      <x:c r="C241" s="20" t="n">
        <x:v>4</x:v>
      </x:c>
      <x:c r="D241" s="20" t="str">
        <x:v>ternary</x:v>
      </x:c>
      <x:c r="E241" s="36" t="n">
        <x:v>0.6153846383094788</x:v>
      </x:c>
      <x:c r="F241" s="36" t="n">
        <x:v>0.07692307978868484</x:v>
      </x:c>
      <x:c r="G241" s="36" t="n">
        <x:v>0.3076923191547394</x:v>
      </x:c>
      <x:c r="H241" s="36" t="n">
        <x:v>0.34587574477346084</x:v>
      </x:c>
      <x:c r="I241" s="36" t="n">
        <x:v>0.16519119798288576</x:v>
      </x:c>
      <x:c r="J241" s="36" t="n">
        <x:v>0.4889330572426534</x:v>
      </x:c>
      <x:c r="K241" s="23" t="n">
        <x:f>0.5*(ABS(H241-E241)+ABS(I241-F241)+ABS(J241-G241))*100</x:f>
        <x:v>26.950887490906638</x:v>
      </x:c>
      <x:c r="L241" s="20" t="n">
        <x:v>24</x:v>
      </x:c>
    </x:row>
    <x:row r="242">
      <x:c r="A242" s="20" t="str">
        <x:v>rf</x:v>
      </x:c>
      <x:c r="B242" s="20" t="str">
        <x:v>DQ24-TB3-TH3.csv</x:v>
      </x:c>
      <x:c r="C242" s="20" t="n">
        <x:v>4</x:v>
      </x:c>
      <x:c r="D242" s="20" t="str">
        <x:v>ternary</x:v>
      </x:c>
      <x:c r="E242" s="36" t="n">
        <x:v>0.800000011920929</x:v>
      </x:c>
      <x:c r="F242" s="36" t="n">
        <x:v>0.10000000149011612</x:v>
      </x:c>
      <x:c r="G242" s="36" t="n">
        <x:v>0.10000000149011612</x:v>
      </x:c>
      <x:c r="H242" s="36" t="n">
        <x:v>0.46116456649034293</x:v>
      </x:c>
      <x:c r="I242" s="36" t="n">
        <x:v>0.26840324572972313</x:v>
      </x:c>
      <x:c r="J242" s="36" t="n">
        <x:v>0.2704321877789338</x:v>
      </x:c>
      <x:c r="K242" s="23" t="n">
        <x:f>0.5*(ABS(H242-E242)+ABS(I242-F242)+ABS(J242-G242))*100</x:f>
        <x:v>33.88354379795053</x:v>
      </x:c>
      <x:c r="L242" s="20" t="n">
        <x:v>24</x:v>
      </x:c>
    </x:row>
    <x:row r="243">
      <x:c r="A243" s="20" t="str">
        <x:v>rf</x:v>
      </x:c>
      <x:c r="B243" s="20" t="str">
        <x:v>DQ24-TB3-TH6.csv</x:v>
      </x:c>
      <x:c r="C243" s="20" t="n">
        <x:v>4</x:v>
      </x:c>
      <x:c r="D243" s="20" t="str">
        <x:v>ternary</x:v>
      </x:c>
      <x:c r="E243" s="36" t="n">
        <x:v>0.7272727489471436</x:v>
      </x:c>
      <x:c r="F243" s="36" t="n">
        <x:v>0.09090909361839294</x:v>
      </x:c>
      <x:c r="G243" s="36" t="n">
        <x:v>0.1818181872367859</x:v>
      </x:c>
      <x:c r="H243" s="36" t="n">
        <x:v>0.423603574070329</x:v>
      </x:c>
      <x:c r="I243" s="36" t="n">
        <x:v>0.22235315228140476</x:v>
      </x:c>
      <x:c r="J243" s="36" t="n">
        <x:v>0.35404327364726607</x:v>
      </x:c>
      <x:c r="K243" s="23" t="n">
        <x:f>0.5*(ABS(H243-E243)+ABS(I243-F243)+ABS(J243-G243))*100</x:f>
        <x:v>30.366915997515324</x:v>
      </x:c>
      <x:c r="L243" s="20" t="n">
        <x:v>24</x:v>
      </x:c>
    </x:row>
    <x:row r="244">
      <x:c r="A244" s="20" t="str">
        <x:v>rf</x:v>
      </x:c>
      <x:c r="B244" s="20" t="str">
        <x:v>DQ24-TB6-TH3.csv</x:v>
      </x:c>
      <x:c r="C244" s="20" t="n">
        <x:v>4</x:v>
      </x:c>
      <x:c r="D244" s="20" t="str">
        <x:v>ternary</x:v>
      </x:c>
      <x:c r="E244" s="36" t="n">
        <x:v>0.7272727489471436</x:v>
      </x:c>
      <x:c r="F244" s="36" t="n">
        <x:v>0.1818181872367859</x:v>
      </x:c>
      <x:c r="G244" s="36" t="n">
        <x:v>0.09090909361839294</x:v>
      </x:c>
      <x:c r="H244" s="36" t="n">
        <x:v>0.5218076895891935</x:v>
      </x:c>
      <x:c r="I244" s="36" t="n">
        <x:v>0.3118192170758163</x:v>
      </x:c>
      <x:c r="J244" s="36" t="n">
        <x:v>0.16637309333399006</x:v>
      </x:c>
      <x:c r="K244" s="23" t="n">
        <x:f>0.5*(ABS(H244-E244)+ABS(I244-F244)+ABS(J244-G244))*100</x:f>
        <x:v>20.546504445628877</x:v>
      </x:c>
      <x:c r="L244" s="20" t="n">
        <x:v>24</x:v>
      </x:c>
    </x:row>
    <x:row r="245">
      <x:c r="A245" s="20" t="str">
        <x:v>rf</x:v>
      </x:c>
      <x:c r="B245" s="20" t="str">
        <x:v>DQ3-TB12-TH6.csv</x:v>
      </x:c>
      <x:c r="C245" s="20" t="n">
        <x:v>4</x:v>
      </x:c>
      <x:c r="D245" s="20" t="str">
        <x:v>ternary</x:v>
      </x:c>
      <x:c r="E245" s="36" t="n">
        <x:v>0.1428571492433548</x:v>
      </x:c>
      <x:c r="F245" s="36" t="n">
        <x:v>0.5714285969734192</x:v>
      </x:c>
      <x:c r="G245" s="36" t="n">
        <x:v>0.2857142984867096</x:v>
      </x:c>
      <x:c r="H245" s="36" t="n">
        <x:v>0.23158777604548186</x:v>
      </x:c>
      <x:c r="I245" s="36" t="n">
        <x:v>0.5298047435298836</x:v>
      </x:c>
      <x:c r="J245" s="36" t="n">
        <x:v>0.23860748042363442</x:v>
      </x:c>
      <x:c r="K245" s="23" t="n">
        <x:f>0.5*(ABS(H245-E245)+ABS(I245-F245)+ABS(J245-G245))*100</x:f>
        <x:v>8.873064915436892</x:v>
      </x:c>
      <x:c r="L245" s="20" t="n">
        <x:v>24</x:v>
      </x:c>
    </x:row>
    <x:row r="246">
      <x:c r="A246" s="20" t="str">
        <x:v>rf</x:v>
      </x:c>
      <x:c r="B246" s="20" t="str">
        <x:v>DQ3-TB24-TH12.csv</x:v>
      </x:c>
      <x:c r="C246" s="20" t="n">
        <x:v>4</x:v>
      </x:c>
      <x:c r="D246" s="20" t="str">
        <x:v>ternary</x:v>
      </x:c>
      <x:c r="E246" s="36" t="n">
        <x:v>0.07692307978868484</x:v>
      </x:c>
      <x:c r="F246" s="36" t="n">
        <x:v>0.6153846383094788</x:v>
      </x:c>
      <x:c r="G246" s="36" t="n">
        <x:v>0.3076923191547394</x:v>
      </x:c>
      <x:c r="H246" s="36" t="n">
        <x:v>0.1805237839780308</x:v>
      </x:c>
      <x:c r="I246" s="36" t="n">
        <x:v>0.6258431108924148</x:v>
      </x:c>
      <x:c r="J246" s="36" t="n">
        <x:v>0.19363310512855428</x:v>
      </x:c>
      <x:c r="K246" s="23" t="n">
        <x:f>0.5*(ABS(H246-E246)+ABS(I246-F246)+ABS(J246-G246))*100</x:f>
        <x:v>11.405919539923357</x:v>
      </x:c>
      <x:c r="L246" s="20" t="n">
        <x:v>24</x:v>
      </x:c>
    </x:row>
    <x:row r="247">
      <x:c r="A247" s="20" t="str">
        <x:v>rf</x:v>
      </x:c>
      <x:c r="B247" s="20" t="str">
        <x:v>DQ3-TB6-TH12.csv</x:v>
      </x:c>
      <x:c r="C247" s="20" t="n">
        <x:v>4</x:v>
      </x:c>
      <x:c r="D247" s="20" t="str">
        <x:v>ternary</x:v>
      </x:c>
      <x:c r="E247" s="36" t="n">
        <x:v>0.1428571492433548</x:v>
      </x:c>
      <x:c r="F247" s="36" t="n">
        <x:v>0.2857142984867096</x:v>
      </x:c>
      <x:c r="G247" s="36" t="n">
        <x:v>0.5714285969734192</x:v>
      </x:c>
      <x:c r="H247" s="36" t="n">
        <x:v>0.23078080432926432</x:v>
      </x:c>
      <x:c r="I247" s="36" t="n">
        <x:v>0.27166661551160287</x:v>
      </x:c>
      <x:c r="J247" s="36" t="n">
        <x:v>0.4975525801581327</x:v>
      </x:c>
      <x:c r="K247" s="23" t="n">
        <x:f>0.5*(ABS(H247-E247)+ABS(I247-F247)+ABS(J247-G247))*100</x:f>
        <x:v>8.792367743815136</x:v>
      </x:c>
      <x:c r="L247" s="20" t="n">
        <x:v>24</x:v>
      </x:c>
    </x:row>
    <x:row r="248">
      <x:c r="A248" s="20" t="str">
        <x:v>rf</x:v>
      </x:c>
      <x:c r="B248" s="20" t="str">
        <x:v>DQ3-TB6-TH24.csv</x:v>
      </x:c>
      <x:c r="C248" s="20" t="n">
        <x:v>4</x:v>
      </x:c>
      <x:c r="D248" s="20" t="str">
        <x:v>ternary</x:v>
      </x:c>
      <x:c r="E248" s="36" t="n">
        <x:v>0.09090909361839294</x:v>
      </x:c>
      <x:c r="F248" s="36" t="n">
        <x:v>0.1818181872367859</x:v>
      </x:c>
      <x:c r="G248" s="36" t="n">
        <x:v>0.7272727489471436</x:v>
      </x:c>
      <x:c r="H248" s="36" t="n">
        <x:v>0.32859518701267804</x:v>
      </x:c>
      <x:c r="I248" s="36" t="n">
        <x:v>0.16499103289698794</x:v>
      </x:c>
      <x:c r="J248" s="36" t="n">
        <x:v>0.5064137800893339</x:v>
      </x:c>
      <x:c r="K248" s="23" t="n">
        <x:f>0.5*(ABS(H248-E248)+ABS(I248-F248)+ABS(J248-G248))*100</x:f>
        <x:v>23.768610829594632</x:v>
      </x:c>
      <x:c r="L248" s="20" t="n">
        <x:v>24</x:v>
      </x:c>
    </x:row>
    <x:row r="249">
      <x:c r="A249" s="20" t="str">
        <x:v>rf</x:v>
      </x:c>
      <x:c r="B249" s="20" t="str">
        <x:v>DQ3-TB6-TH3.csv</x:v>
      </x:c>
      <x:c r="C249" s="20" t="n">
        <x:v>4</x:v>
      </x:c>
      <x:c r="D249" s="20" t="str">
        <x:v>ternary</x:v>
      </x:c>
      <x:c r="E249" s="36" t="n">
        <x:v>0.25</x:v>
      </x:c>
      <x:c r="F249" s="36" t="n">
        <x:v>0.5</x:v>
      </x:c>
      <x:c r="G249" s="36" t="n">
        <x:v>0.25</x:v>
      </x:c>
      <x:c r="H249" s="36" t="n">
        <x:v>0.3538038038012079</x:v>
      </x:c>
      <x:c r="I249" s="36" t="n">
        <x:v>0.35407024372929613</x:v>
      </x:c>
      <x:c r="J249" s="36" t="n">
        <x:v>0.292125952468496</x:v>
      </x:c>
      <x:c r="K249" s="23" t="n">
        <x:f>0.5*(ABS(H249-E249)+ABS(I249-F249)+ABS(J249-G249))*100</x:f>
        <x:v>14.592975627020389</x:v>
      </x:c>
      <x:c r="L249" s="20" t="n">
        <x:v>24</x:v>
      </x:c>
    </x:row>
    <x:row r="250">
      <x:c r="A250" s="20" t="str">
        <x:v>rf</x:v>
      </x:c>
      <x:c r="B250" s="20" t="str">
        <x:v>DQ33-TB333-TH333.csv</x:v>
      </x:c>
      <x:c r="C250" s="20" t="n">
        <x:v>4</x:v>
      </x:c>
      <x:c r="D250" s="20" t="str">
        <x:v>ternary</x:v>
      </x:c>
      <x:c r="E250" s="36" t="n">
        <x:v>0.04721030220389366</x:v>
      </x:c>
      <x:c r="F250" s="36" t="n">
        <x:v>0.4763948619365692</x:v>
      </x:c>
      <x:c r="G250" s="36" t="n">
        <x:v>0.4763948619365692</x:v>
      </x:c>
      <x:c r="H250" s="36" t="n">
        <x:v>0.2201575817644561</x:v>
      </x:c>
      <x:c r="I250" s="36" t="n">
        <x:v>0.08565117105324765</x:v>
      </x:c>
      <x:c r="J250" s="36" t="n">
        <x:v>0.694191247181296</x:v>
      </x:c>
      <x:c r="K250" s="23" t="n">
        <x:f>0.5*(ABS(H250-E250)+ABS(I250-F250)+ABS(J250-G250))*100</x:f>
        <x:v>39.074367784430535</x:v>
      </x:c>
      <x:c r="L250" s="20" t="n">
        <x:v>24</x:v>
      </x:c>
    </x:row>
    <x:row r="251">
      <x:c r="A251" s="20" t="str">
        <x:v>rf</x:v>
      </x:c>
      <x:c r="B251" s="20" t="str">
        <x:v>DQ6-TB12-TH24.csv</x:v>
      </x:c>
      <x:c r="C251" s="20" t="n">
        <x:v>4</x:v>
      </x:c>
      <x:c r="D251" s="20" t="str">
        <x:v>ternary</x:v>
      </x:c>
      <x:c r="E251" s="36" t="n">
        <x:v>0.1428571492433548</x:v>
      </x:c>
      <x:c r="F251" s="36" t="n">
        <x:v>0.2857142984867096</x:v>
      </x:c>
      <x:c r="G251" s="36" t="n">
        <x:v>0.5714285969734192</x:v>
      </x:c>
      <x:c r="H251" s="36" t="n">
        <x:v>0.2299565301704165</x:v>
      </x:c>
      <x:c r="I251" s="36" t="n">
        <x:v>0.34133455710153954</x:v>
      </x:c>
      <x:c r="J251" s="36" t="n">
        <x:v>0.4287089127270438</x:v>
      </x:c>
      <x:c r="K251" s="23" t="n">
        <x:f>0.5*(ABS(H251-E251)+ABS(I251-F251)+ABS(J251-G251))*100</x:f>
        <x:v>14.271966189413352</x:v>
      </x:c>
      <x:c r="L251" s="20" t="n">
        <x:v>24</x:v>
      </x:c>
    </x:row>
    <x:row r="252">
      <x:c r="A252" s="20" t="str">
        <x:v>rf</x:v>
      </x:c>
      <x:c r="B252" s="20" t="str">
        <x:v>DQ6-TB12-TH6.csv</x:v>
      </x:c>
      <x:c r="C252" s="20" t="n">
        <x:v>4</x:v>
      </x:c>
      <x:c r="D252" s="20" t="str">
        <x:v>ternary</x:v>
      </x:c>
      <x:c r="E252" s="36" t="n">
        <x:v>0.25</x:v>
      </x:c>
      <x:c r="F252" s="36" t="n">
        <x:v>0.5</x:v>
      </x:c>
      <x:c r="G252" s="36" t="n">
        <x:v>0.25</x:v>
      </x:c>
      <x:c r="H252" s="36" t="n">
        <x:v>0.34435631439569064</x:v>
      </x:c>
      <x:c r="I252" s="36" t="n">
        <x:v>0.4264329302050572</x:v>
      </x:c>
      <x:c r="J252" s="36" t="n">
        <x:v>0.22921075539825217</x:v>
      </x:c>
      <x:c r="K252" s="23" t="n">
        <x:f>0.5*(ABS(H252-E252)+ABS(I252-F252)+ABS(J252-G252))*100</x:f>
        <x:v>9.435631439619065</x:v>
      </x:c>
      <x:c r="L252" s="20" t="n">
        <x:v>24</x:v>
      </x:c>
    </x:row>
    <x:row r="253">
      <x:c r="A253" s="20" t="str">
        <x:v>rf</x:v>
      </x:c>
      <x:c r="B253" s="20" t="str">
        <x:v>DQ6-TB24-TH12.csv</x:v>
      </x:c>
      <x:c r="C253" s="20" t="n">
        <x:v>4</x:v>
      </x:c>
      <x:c r="D253" s="20" t="str">
        <x:v>ternary</x:v>
      </x:c>
      <x:c r="E253" s="36" t="n">
        <x:v>0.1428571492433548</x:v>
      </x:c>
      <x:c r="F253" s="36" t="n">
        <x:v>0.5714285969734192</x:v>
      </x:c>
      <x:c r="G253" s="36" t="n">
        <x:v>0.2857142984867096</x:v>
      </x:c>
      <x:c r="H253" s="36" t="n">
        <x:v>0.2084373917423379</x:v>
      </x:c>
      <x:c r="I253" s="36" t="n">
        <x:v>0.5098728488743698</x:v>
      </x:c>
      <x:c r="J253" s="36" t="n">
        <x:v>0.28168975938229224</x:v>
      </x:c>
      <x:c r="K253" s="23" t="n">
        <x:f>0.5*(ABS(H253-E253)+ABS(I253-F253)+ABS(J253-G253))*100</x:f>
        <x:v>6.558026485122494</x:v>
      </x:c>
      <x:c r="L253" s="20" t="n">
        <x:v>24</x:v>
      </x:c>
    </x:row>
    <x:row r="254">
      <x:c r="A254" s="20" t="str">
        <x:v>rf</x:v>
      </x:c>
      <x:c r="B254" s="20" t="str">
        <x:v>DQ6-TB3-TH12.csv</x:v>
      </x:c>
      <x:c r="C254" s="20" t="n">
        <x:v>4</x:v>
      </x:c>
      <x:c r="D254" s="20" t="str">
        <x:v>ternary</x:v>
      </x:c>
      <x:c r="E254" s="36" t="n">
        <x:v>0.2857142984867096</x:v>
      </x:c>
      <x:c r="F254" s="36" t="n">
        <x:v>0.1428571492433548</x:v>
      </x:c>
      <x:c r="G254" s="36" t="n">
        <x:v>0.5714285969734192</x:v>
      </x:c>
      <x:c r="H254" s="36" t="n">
        <x:v>0.3034008204150791</x:v>
      </x:c>
      <x:c r="I254" s="36" t="n">
        <x:v>0.22364386492297714</x:v>
      </x:c>
      <x:c r="J254" s="36" t="n">
        <x:v>0.4729553146609437</x:v>
      </x:c>
      <x:c r="K254" s="23" t="n">
        <x:f>0.5*(ABS(H254-E254)+ABS(I254-F254)+ABS(J254-G254))*100</x:f>
        <x:v>9.847325996023367</x:v>
      </x:c>
      <x:c r="L254" s="20" t="n">
        <x:v>24</x:v>
      </x:c>
    </x:row>
    <x:row r="255">
      <x:c r="A255" s="20" t="str">
        <x:v>rf</x:v>
      </x:c>
      <x:c r="B255" s="20" t="str">
        <x:v>DQ12-TB12-TH3.csv</x:v>
      </x:c>
      <x:c r="C255" s="20" t="n">
        <x:v>5</x:v>
      </x:c>
      <x:c r="D255" s="20" t="str">
        <x:v>ternary</x:v>
      </x:c>
      <x:c r="E255" s="36" t="n">
        <x:v>0.4444444477558136</x:v>
      </x:c>
      <x:c r="F255" s="36" t="n">
        <x:v>0.4444444477558136</x:v>
      </x:c>
      <x:c r="G255" s="36" t="n">
        <x:v>0.1111111119389534</x:v>
      </x:c>
      <x:c r="H255" s="36" t="n">
        <x:v>0.4085156793911035</x:v>
      </x:c>
      <x:c r="I255" s="36" t="n">
        <x:v>0.4296356800031154</x:v>
      </x:c>
      <x:c r="J255" s="36" t="n">
        <x:v>0.16184864060478085</x:v>
      </x:c>
      <x:c r="K255" s="23" t="n">
        <x:f>0.5*(ABS(H255-E255)+ABS(I255-F255)+ABS(J255-G255))*100</x:f>
        <x:v>5.073753239161786</x:v>
      </x:c>
      <x:c r="L255" s="20" t="n">
        <x:v>24</x:v>
      </x:c>
    </x:row>
    <x:row r="256">
      <x:c r="A256" s="20" t="str">
        <x:v>rf</x:v>
      </x:c>
      <x:c r="B256" s="20" t="str">
        <x:v>DQ12-TB3-TH6.csv</x:v>
      </x:c>
      <x:c r="C256" s="20" t="n">
        <x:v>5</x:v>
      </x:c>
      <x:c r="D256" s="20" t="str">
        <x:v>ternary</x:v>
      </x:c>
      <x:c r="E256" s="36" t="n">
        <x:v>0.5714285969734192</x:v>
      </x:c>
      <x:c r="F256" s="36" t="n">
        <x:v>0.1428571492433548</x:v>
      </x:c>
      <x:c r="G256" s="36" t="n">
        <x:v>0.2857142984867096</x:v>
      </x:c>
      <x:c r="H256" s="36" t="n">
        <x:v>0.5000496660337533</x:v>
      </x:c>
      <x:c r="I256" s="36" t="n">
        <x:v>0.2815975998761508</x:v>
      </x:c>
      <x:c r="J256" s="36" t="n">
        <x:v>0.2183527340890956</x:v>
      </x:c>
      <x:c r="K256" s="23" t="n">
        <x:f>0.5*(ABS(H256-E256)+ABS(I256-F256)+ABS(J256-G256))*100</x:f>
        <x:v>13.874047298503791</x:v>
      </x:c>
      <x:c r="L256" s="20" t="n">
        <x:v>24</x:v>
      </x:c>
    </x:row>
    <x:row r="257">
      <x:c r="A257" s="20" t="str">
        <x:v>rf</x:v>
      </x:c>
      <x:c r="B257" s="20" t="str">
        <x:v>DQ12-TB6-TH12.csv</x:v>
      </x:c>
      <x:c r="C257" s="20" t="n">
        <x:v>5</x:v>
      </x:c>
      <x:c r="D257" s="20" t="str">
        <x:v>ternary</x:v>
      </x:c>
      <x:c r="E257" s="36" t="n">
        <x:v>0.4000000059604645</x:v>
      </x:c>
      <x:c r="F257" s="36" t="n">
        <x:v>0.20000000298023224</x:v>
      </x:c>
      <x:c r="G257" s="36" t="n">
        <x:v>0.4000000059604645</x:v>
      </x:c>
      <x:c r="H257" s="36" t="n">
        <x:v>0.3934692684607333</x:v>
      </x:c>
      <x:c r="I257" s="36" t="n">
        <x:v>0.2691790648043146</x:v>
      </x:c>
      <x:c r="J257" s="36" t="n">
        <x:v>0.337351666733952</x:v>
      </x:c>
      <x:c r="K257" s="23" t="n">
        <x:f>0.5*(ABS(H257-E257)+ABS(I257-F257)+ABS(J257-G257))*100</x:f>
        <x:v>6.917906927516299</x:v>
      </x:c>
      <x:c r="L257" s="20" t="n">
        <x:v>24</x:v>
      </x:c>
    </x:row>
    <x:row r="258">
      <x:c r="A258" s="20" t="str">
        <x:v>rf</x:v>
      </x:c>
      <x:c r="B258" s="20" t="str">
        <x:v>DQ150-TB0-TH50.csv</x:v>
      </x:c>
      <x:c r="C258" s="20" t="n">
        <x:v>5</x:v>
      </x:c>
      <x:c r="D258" s="20" t="str">
        <x:v>binary</x:v>
      </x:c>
      <x:c r="E258" s="36" t="n">
        <x:v>0.75</x:v>
      </x:c>
      <x:c r="F258" s="36" t="n">
        <x:v>0</x:v>
      </x:c>
      <x:c r="G258" s="36" t="n">
        <x:v>0.25</x:v>
      </x:c>
      <x:c r="H258" s="36" t="n">
        <x:v>0.4896953652751881</x:v>
      </x:c>
      <x:c r="I258" s="36" t="n">
        <x:v>0.14475286593219389</x:v>
      </x:c>
      <x:c r="J258" s="36" t="n">
        <x:v>0.36555176879161805</x:v>
      </x:c>
      <x:c r="K258" s="23" t="n">
        <x:f>0.5*(ABS(H258-E258)+ABS(I258-F258)+ABS(J258-G258))*100</x:f>
        <x:v>26.030463472431194</x:v>
      </x:c>
      <x:c r="L258" s="20" t="n">
        <x:v>24</x:v>
      </x:c>
    </x:row>
    <x:row r="259">
      <x:c r="A259" s="20" t="str">
        <x:v>rf</x:v>
      </x:c>
      <x:c r="B259" s="20" t="str">
        <x:v>DQ24-TB12-TH24.csv</x:v>
      </x:c>
      <x:c r="C259" s="20" t="n">
        <x:v>5</x:v>
      </x:c>
      <x:c r="D259" s="20" t="str">
        <x:v>ternary</x:v>
      </x:c>
      <x:c r="E259" s="36" t="n">
        <x:v>0.4000000059604645</x:v>
      </x:c>
      <x:c r="F259" s="36" t="n">
        <x:v>0.20000000298023224</x:v>
      </x:c>
      <x:c r="G259" s="36" t="n">
        <x:v>0.4000000059604645</x:v>
      </x:c>
      <x:c r="H259" s="36" t="n">
        <x:v>0.5027472749254057</x:v>
      </x:c>
      <x:c r="I259" s="36" t="n">
        <x:v>0.2374915276017107</x:v>
      </x:c>
      <x:c r="J259" s="36" t="n">
        <x:v>0.2597611974718835</x:v>
      </x:c>
      <x:c r="K259" s="23" t="n">
        <x:f>0.5*(ABS(H259-E259)+ABS(I259-F259)+ABS(J259-G259))*100</x:f>
        <x:v>14.023880103750036</x:v>
      </x:c>
      <x:c r="L259" s="20" t="n">
        <x:v>24</x:v>
      </x:c>
    </x:row>
    <x:row r="260">
      <x:c r="A260" s="20" t="str">
        <x:v>rf</x:v>
      </x:c>
      <x:c r="B260" s="20" t="str">
        <x:v>DQ24-TB24-TH6.csv</x:v>
      </x:c>
      <x:c r="C260" s="20" t="n">
        <x:v>5</x:v>
      </x:c>
      <x:c r="D260" s="20" t="str">
        <x:v>ternary</x:v>
      </x:c>
      <x:c r="E260" s="36" t="n">
        <x:v>0.4444444477558136</x:v>
      </x:c>
      <x:c r="F260" s="36" t="n">
        <x:v>0.4444444477558136</x:v>
      </x:c>
      <x:c r="G260" s="36" t="n">
        <x:v>0.1111111119389534</x:v>
      </x:c>
      <x:c r="H260" s="36" t="n">
        <x:v>0.35748817605053324</x:v>
      </x:c>
      <x:c r="I260" s="36" t="n">
        <x:v>0.43616973102898826</x:v>
      </x:c>
      <x:c r="J260" s="36" t="n">
        <x:v>0.20634209291947833</x:v>
      </x:c>
      <x:c r="K260" s="23" t="n">
        <x:f>0.5*(ABS(H260-E260)+ABS(I260-F260)+ABS(J260-G260))*100</x:f>
        <x:v>9.523098470631531</x:v>
      </x:c>
      <x:c r="L260" s="20" t="n">
        <x:v>24</x:v>
      </x:c>
    </x:row>
    <x:row r="261">
      <x:c r="A261" s="20" t="str">
        <x:v>rf</x:v>
      </x:c>
      <x:c r="B261" s="20" t="str">
        <x:v>DQ24-TB3-TH24.csv</x:v>
      </x:c>
      <x:c r="C261" s="20" t="n">
        <x:v>5</x:v>
      </x:c>
      <x:c r="D261" s="20" t="str">
        <x:v>ternary</x:v>
      </x:c>
      <x:c r="E261" s="36" t="n">
        <x:v>0.47058823704719543</x:v>
      </x:c>
      <x:c r="F261" s="36" t="n">
        <x:v>0.05882352963089943</x:v>
      </x:c>
      <x:c r="G261" s="36" t="n">
        <x:v>0.47058823704719543</x:v>
      </x:c>
      <x:c r="H261" s="36" t="n">
        <x:v>0.27236307133160526</x:v>
      </x:c>
      <x:c r="I261" s="36" t="n">
        <x:v>0.20697960930484374</x:v>
      </x:c>
      <x:c r="J261" s="36" t="n">
        <x:v>0.520657319362551</x:v>
      </x:c>
      <x:c r="K261" s="23" t="n">
        <x:f>0.5*(ABS(H261-E261)+ABS(I261-F261)+ABS(J261-G261))*100</x:f>
        <x:v>19.822516385244505</x:v>
      </x:c>
      <x:c r="L261" s="20" t="n">
        <x:v>24</x:v>
      </x:c>
    </x:row>
    <x:row r="262">
      <x:c r="A262" s="20" t="str">
        <x:v>rf</x:v>
      </x:c>
      <x:c r="B262" s="20" t="str">
        <x:v>DQ24-TB6-TH12.csv</x:v>
      </x:c>
      <x:c r="C262" s="20" t="n">
        <x:v>5</x:v>
      </x:c>
      <x:c r="D262" s="20" t="str">
        <x:v>ternary</x:v>
      </x:c>
      <x:c r="E262" s="36" t="n">
        <x:v>0.5714285969734192</x:v>
      </x:c>
      <x:c r="F262" s="36" t="n">
        <x:v>0.1428571492433548</x:v>
      </x:c>
      <x:c r="G262" s="36" t="n">
        <x:v>0.2857142984867096</x:v>
      </x:c>
      <x:c r="H262" s="36" t="n">
        <x:v>0.5843121342874625</x:v>
      </x:c>
      <x:c r="I262" s="36" t="n">
        <x:v>0.20293716916868412</x:v>
      </x:c>
      <x:c r="J262" s="36" t="n">
        <x:v>0.21275069654285325</x:v>
      </x:c>
      <x:c r="K262" s="23" t="n">
        <x:f>0.5*(ABS(H262-E262)+ABS(I262-F262)+ABS(J262-G262))*100</x:f>
        <x:v>7.296357959161451</x:v>
      </x:c>
      <x:c r="L262" s="20" t="n">
        <x:v>24</x:v>
      </x:c>
    </x:row>
    <x:row r="263">
      <x:c r="A263" s="20" t="str">
        <x:v>rf</x:v>
      </x:c>
      <x:c r="B263" s="20" t="str">
        <x:v>DQ3-TB24-TH24.csv</x:v>
      </x:c>
      <x:c r="C263" s="20" t="n">
        <x:v>5</x:v>
      </x:c>
      <x:c r="D263" s="20" t="str">
        <x:v>ternary</x:v>
      </x:c>
      <x:c r="E263" s="36" t="n">
        <x:v>0.05882352963089943</x:v>
      </x:c>
      <x:c r="F263" s="36" t="n">
        <x:v>0.47058823704719543</x:v>
      </x:c>
      <x:c r="G263" s="36" t="n">
        <x:v>0.47058823704719543</x:v>
      </x:c>
      <x:c r="H263" s="36" t="n">
        <x:v>0.22282465427476286</x:v>
      </x:c>
      <x:c r="I263" s="36" t="n">
        <x:v>0.40926735186663726</x:v>
      </x:c>
      <x:c r="J263" s="36" t="n">
        <x:v>0.3679079938575997</x:v>
      </x:c>
      <x:c r="K263" s="23" t="n">
        <x:f>0.5*(ABS(H263-E263)+ABS(I263-F263)+ABS(J263-G263))*100</x:f>
        <x:v>16.400112650700866</x:v>
      </x:c>
      <x:c r="L263" s="20" t="n">
        <x:v>24</x:v>
      </x:c>
    </x:row>
    <x:row r="264">
      <x:c r="A264" s="20" t="str">
        <x:v>rf</x:v>
      </x:c>
      <x:c r="B264" s="20" t="str">
        <x:v>DQ3-TB24-TH6.csv</x:v>
      </x:c>
      <x:c r="C264" s="20" t="n">
        <x:v>5</x:v>
      </x:c>
      <x:c r="D264" s="20" t="str">
        <x:v>ternary</x:v>
      </x:c>
      <x:c r="E264" s="36" t="n">
        <x:v>0.09090909361839294</x:v>
      </x:c>
      <x:c r="F264" s="36" t="n">
        <x:v>0.7272727489471436</x:v>
      </x:c>
      <x:c r="G264" s="36" t="n">
        <x:v>0.1818181872367859</x:v>
      </x:c>
      <x:c r="H264" s="36" t="n">
        <x:v>0.17304647890597755</x:v>
      </x:c>
      <x:c r="I264" s="36" t="n">
        <x:v>0.6133667788680431</x:v>
      </x:c>
      <x:c r="J264" s="36" t="n">
        <x:v>0.2135867422249793</x:v>
      </x:c>
      <x:c r="K264" s="23" t="n">
        <x:f>0.5*(ABS(H264-E264)+ABS(I264-F264)+ABS(J264-G264))*100</x:f>
        <x:v>11.390595517743922</x:v>
      </x:c>
      <x:c r="L264" s="20" t="n">
        <x:v>24</x:v>
      </x:c>
    </x:row>
    <x:row r="265">
      <x:c r="A265" s="20" t="str">
        <x:v>rf</x:v>
      </x:c>
      <x:c r="B265" s="20" t="str">
        <x:v>DQ3-TB3-TH12.csv</x:v>
      </x:c>
      <x:c r="C265" s="20" t="n">
        <x:v>5</x:v>
      </x:c>
      <x:c r="D265" s="20" t="str">
        <x:v>ternary</x:v>
      </x:c>
      <x:c r="E265" s="36" t="n">
        <x:v>0.1666666716337204</x:v>
      </x:c>
      <x:c r="F265" s="36" t="n">
        <x:v>0.1666666716337204</x:v>
      </x:c>
      <x:c r="G265" s="36" t="n">
        <x:v>0.6666666865348816</x:v>
      </x:c>
      <x:c r="H265" s="36" t="n">
        <x:v>0.22105814432087387</x:v>
      </x:c>
      <x:c r="I265" s="36" t="n">
        <x:v>0.23934857377509264</x:v>
      </x:c>
      <x:c r="J265" s="36" t="n">
        <x:v>0.5395932819030335</x:v>
      </x:c>
      <x:c r="K265" s="23" t="n">
        <x:f>0.5*(ABS(H265-E265)+ABS(I265-F265)+ABS(J265-G265))*100</x:f>
        <x:v>12.707338973018691</x:v>
      </x:c>
      <x:c r="L265" s="20" t="n">
        <x:v>24</x:v>
      </x:c>
    </x:row>
    <x:row r="266">
      <x:c r="A266" s="20" t="str">
        <x:v>rf</x:v>
      </x:c>
      <x:c r="B266" s="20" t="str">
        <x:v>DQ333-TB33-TH333.csv</x:v>
      </x:c>
      <x:c r="C266" s="20" t="n">
        <x:v>5</x:v>
      </x:c>
      <x:c r="D266" s="20" t="str">
        <x:v>ternary</x:v>
      </x:c>
      <x:c r="E266" s="36" t="n">
        <x:v>0.4763948619365692</x:v>
      </x:c>
      <x:c r="F266" s="36" t="n">
        <x:v>0.04721030220389366</x:v>
      </x:c>
      <x:c r="G266" s="36" t="n">
        <x:v>0.4763948619365692</x:v>
      </x:c>
      <x:c r="H266" s="36" t="n">
        <x:v>0.18123153119354984</x:v>
      </x:c>
      <x:c r="I266" s="36" t="n">
        <x:v>0.1545602356082809</x:v>
      </x:c>
      <x:c r="J266" s="36" t="n">
        <x:v>0.6642082331971692</x:v>
      </x:c>
      <x:c r="K266" s="23" t="n">
        <x:f>0.5*(ABS(H266-E266)+ABS(I266-F266)+ABS(J266-G266))*100</x:f>
        <x:v>29.516331770400328</x:v>
      </x:c>
      <x:c r="L266" s="20" t="n">
        <x:v>24</x:v>
      </x:c>
    </x:row>
    <x:row r="267">
      <x:c r="A267" s="20" t="str">
        <x:v>rf</x:v>
      </x:c>
      <x:c r="B267" s="20" t="str">
        <x:v>DQ50-TB0-TH500.csv</x:v>
      </x:c>
      <x:c r="C267" s="20" t="n">
        <x:v>5</x:v>
      </x:c>
      <x:c r="D267" s="20" t="str">
        <x:v>binary</x:v>
      </x:c>
      <x:c r="E267" s="36" t="n">
        <x:v>0.09090909361839294</x:v>
      </x:c>
      <x:c r="F267" s="36" t="n">
        <x:v>0</x:v>
      </x:c>
      <x:c r="G267" s="36" t="n">
        <x:v>0.9090909361839294</x:v>
      </x:c>
      <x:c r="H267" s="36" t="n">
        <x:v>0.10611118232040372</x:v>
      </x:c>
      <x:c r="I267" s="36" t="n">
        <x:v>0.15751579844962757</x:v>
      </x:c>
      <x:c r="J267" s="36" t="n">
        <x:v>0.7363730192289685</x:v>
      </x:c>
      <x:c r="K267" s="23" t="n">
        <x:f>0.5*(ABS(H267-E267)+ABS(I267-F267)+ABS(J267-G267))*100</x:f>
        <x:v>17.271790205329964</x:v>
      </x:c>
      <x:c r="L267" s="20" t="n">
        <x:v>24</x:v>
      </x:c>
    </x:row>
    <x:row r="268">
      <x:c r="A268" s="20" t="str">
        <x:v>rf</x:v>
      </x:c>
      <x:c r="B268" s="20" t="str">
        <x:v>DQ50-TB500-TH0.csv</x:v>
      </x:c>
      <x:c r="C268" s="20" t="n">
        <x:v>5</x:v>
      </x:c>
      <x:c r="D268" s="20" t="str">
        <x:v>binary</x:v>
      </x:c>
      <x:c r="E268" s="36" t="n">
        <x:v>0.09090909361839294</x:v>
      </x:c>
      <x:c r="F268" s="36" t="n">
        <x:v>0.9090909361839294</x:v>
      </x:c>
      <x:c r="G268" s="36" t="n">
        <x:v>0</x:v>
      </x:c>
      <x:c r="H268" s="36" t="n">
        <x:v>0.34008534483976344</x:v>
      </x:c>
      <x:c r="I268" s="36" t="n">
        <x:v>0.6047401829913404</x:v>
      </x:c>
      <x:c r="J268" s="36" t="n">
        <x:v>0.055174472167896164</x:v>
      </x:c>
      <x:c r="K268" s="23" t="n">
        <x:f>0.5*(ABS(H268-E268)+ABS(I268-F268)+ABS(J268-G268))*100</x:f>
        <x:v>30.435073829092786</x:v>
      </x:c>
      <x:c r="L268" s="20" t="n">
        <x:v>24</x:v>
      </x:c>
    </x:row>
    <x:row r="269">
      <x:c r="A269" s="20" t="str">
        <x:v>rf</x:v>
      </x:c>
      <x:c r="B269" s="20" t="str">
        <x:v>DQ6-TB24-TH3.csv</x:v>
      </x:c>
      <x:c r="C269" s="20" t="n">
        <x:v>5</x:v>
      </x:c>
      <x:c r="D269" s="20" t="str">
        <x:v>ternary</x:v>
      </x:c>
      <x:c r="E269" s="36" t="n">
        <x:v>0.1818181872367859</x:v>
      </x:c>
      <x:c r="F269" s="36" t="n">
        <x:v>0.7272727489471436</x:v>
      </x:c>
      <x:c r="G269" s="36" t="n">
        <x:v>0.09090909361839294</x:v>
      </x:c>
      <x:c r="H269" s="36" t="n">
        <x:v>0.3163512868167705</x:v>
      </x:c>
      <x:c r="I269" s="36" t="n">
        <x:v>0.5158555050759854</x:v>
      </x:c>
      <x:c r="J269" s="36" t="n">
        <x:v>0.16779320810624385</x:v>
      </x:c>
      <x:c r="K269" s="23" t="n">
        <x:f>0.5*(ABS(H269-E269)+ABS(I269-F269)+ABS(J269-G269))*100</x:f>
        <x:v>21.141722896949684</x:v>
      </x:c>
      <x:c r="L269" s="20" t="n">
        <x:v>24</x:v>
      </x:c>
    </x:row>
    <x:row r="270">
      <x:c r="A270" s="20" t="str">
        <x:v>rf</x:v>
      </x:c>
      <x:c r="B270" s="20" t="str">
        <x:v>DQ6-TB3-TH6.csv</x:v>
      </x:c>
      <x:c r="C270" s="20" t="n">
        <x:v>5</x:v>
      </x:c>
      <x:c r="D270" s="20" t="str">
        <x:v>ternary</x:v>
      </x:c>
      <x:c r="E270" s="36" t="n">
        <x:v>0.4000000059604645</x:v>
      </x:c>
      <x:c r="F270" s="36" t="n">
        <x:v>0.20000000298023224</x:v>
      </x:c>
      <x:c r="G270" s="36" t="n">
        <x:v>0.4000000059604645</x:v>
      </x:c>
      <x:c r="H270" s="36" t="n">
        <x:v>0.33714453321635646</x:v>
      </x:c>
      <x:c r="I270" s="36" t="n">
        <x:v>0.31544631170673487</x:v>
      </x:c>
      <x:c r="J270" s="36" t="n">
        <x:v>0.34740915507590864</x:v>
      </x:c>
      <x:c r="K270" s="23" t="n">
        <x:f>0.5*(ABS(H270-E270)+ABS(I270-F270)+ABS(J270-G270))*100</x:f>
        <x:v>11.544631617758325</x:v>
      </x:c>
      <x:c r="L270" s="20" t="n">
        <x:v>24</x:v>
      </x:c>
    </x:row>
    <x:row r="271">
      <x:c r="A271" s="20" t="str">
        <x:v>rf</x:v>
      </x:c>
      <x:c r="B271" s="20" t="str">
        <x:v>DQ6-TB6-TH24.csv</x:v>
      </x:c>
      <x:c r="C271" s="20" t="n">
        <x:v>5</x:v>
      </x:c>
      <x:c r="D271" s="20" t="str">
        <x:v>ternary</x:v>
      </x:c>
      <x:c r="E271" s="36" t="n">
        <x:v>0.1666666716337204</x:v>
      </x:c>
      <x:c r="F271" s="36" t="n">
        <x:v>0.1666666716337204</x:v>
      </x:c>
      <x:c r="G271" s="36" t="n">
        <x:v>0.6666666865348816</x:v>
      </x:c>
      <x:c r="H271" s="36" t="n">
        <x:v>0.2248451908503747</x:v>
      </x:c>
      <x:c r="I271" s="36" t="n">
        <x:v>0.22935241562389563</x:v>
      </x:c>
      <x:c r="J271" s="36" t="n">
        <x:v>0.5458023935247294</x:v>
      </x:c>
      <x:c r="K271" s="23" t="n">
        <x:f>0.5*(ABS(H271-E271)+ABS(I271-F271)+ABS(J271-G271))*100</x:f>
        <x:v>12.086427810849088</x:v>
      </x:c>
      <x:c r="L271" s="20" t="n">
        <x:v>24</x:v>
      </x:c>
    </x:row>
    <x:row r="272">
      <x:c r="A272" s="20" t="str">
        <x:v>cnn</x:v>
      </x:c>
      <x:c r="B272" s="20" t="str">
        <x:v>DQ0-TB50-TH250.csv</x:v>
      </x:c>
      <x:c r="C272" s="20" t="n">
        <x:v>1</x:v>
      </x:c>
      <x:c r="D272" s="20" t="str">
        <x:v>binary</x:v>
      </x:c>
      <x:c r="E272" s="36" t="n">
        <x:v>0</x:v>
      </x:c>
      <x:c r="F272" s="36" t="n">
        <x:v>0.1666666716337204</x:v>
      </x:c>
      <x:c r="G272" s="36" t="n">
        <x:v>0.8333333134651184</x:v>
      </x:c>
      <x:c r="H272" s="36" t="n">
        <x:v>0.22334866411983967</x:v>
      </x:c>
      <x:c r="I272" s="36" t="n">
        <x:v>0.03255949115070204</x:v>
      </x:c>
      <x:c r="J272" s="36" t="n">
        <x:v>0.7440918485323588</x:v>
      </x:c>
      <x:c r="K272" s="23" t="n">
        <x:f>0.5*(ABS(H272-E272)+ABS(I272-F272)+ABS(J272-G272))*100</x:f>
        <x:v>22.334865476780884</x:v>
      </x:c>
      <x:c r="L272" s="20" t="n">
        <x:v>24</x:v>
      </x:c>
    </x:row>
    <x:row r="273">
      <x:c r="A273" s="20" t="str">
        <x:v>cnn</x:v>
      </x:c>
      <x:c r="B273" s="20" t="str">
        <x:v>DQ0-TB50-TH500.csv</x:v>
      </x:c>
      <x:c r="C273" s="20" t="n">
        <x:v>1</x:v>
      </x:c>
      <x:c r="D273" s="20" t="str">
        <x:v>binary</x:v>
      </x:c>
      <x:c r="E273" s="36" t="n">
        <x:v>0</x:v>
      </x:c>
      <x:c r="F273" s="36" t="n">
        <x:v>0.09090909361839294</x:v>
      </x:c>
      <x:c r="G273" s="36" t="n">
        <x:v>0.9090909361839294</x:v>
      </x:c>
      <x:c r="H273" s="36" t="n">
        <x:v>0.1361179379746318</x:v>
      </x:c>
      <x:c r="I273" s="36" t="n">
        <x:v>0.018058207409922034</x:v>
      </x:c>
      <x:c r="J273" s="36" t="n">
        <x:v>0.8458238492409388</x:v>
      </x:c>
      <x:c r="K273" s="23" t="n">
        <x:f>0.5*(ABS(H273-E273)+ABS(I273-F273)+ABS(J273-G273))*100</x:f>
        <x:v>13.611795556304667</x:v>
      </x:c>
      <x:c r="L273" s="20" t="n">
        <x:v>24</x:v>
      </x:c>
    </x:row>
    <x:row r="274">
      <x:c r="A274" s="20" t="str">
        <x:v>cnn</x:v>
      </x:c>
      <x:c r="B274" s="20" t="str">
        <x:v>DQ0-TB500-TH500.csv</x:v>
      </x:c>
      <x:c r="C274" s="20" t="n">
        <x:v>1</x:v>
      </x:c>
      <x:c r="D274" s="20" t="str">
        <x:v>binary</x:v>
      </x:c>
      <x:c r="E274" s="36" t="n">
        <x:v>0</x:v>
      </x:c>
      <x:c r="F274" s="36" t="n">
        <x:v>0.5</x:v>
      </x:c>
      <x:c r="G274" s="36" t="n">
        <x:v>0.5</x:v>
      </x:c>
      <x:c r="H274" s="36" t="n">
        <x:v>0.4202329870313406</x:v>
      </x:c>
      <x:c r="I274" s="36" t="n">
        <x:v>0.2524727371831735</x:v>
      </x:c>
      <x:c r="J274" s="36" t="n">
        <x:v>0.32729425948734087</x:v>
      </x:c>
      <x:c r="K274" s="23" t="n">
        <x:f>0.5*(ABS(H274-E274)+ABS(I274-F274)+ABS(J274-G274))*100</x:f>
        <x:v>42.02329951804131</x:v>
      </x:c>
      <x:c r="L274" s="20" t="n">
        <x:v>24</x:v>
      </x:c>
    </x:row>
    <x:row r="275">
      <x:c r="A275" s="20" t="str">
        <x:v>cnn</x:v>
      </x:c>
      <x:c r="B275" s="20" t="str">
        <x:v>DQ12-TB12-TH12.csv</x:v>
      </x:c>
      <x:c r="C275" s="20" t="n">
        <x:v>1</x:v>
      </x:c>
      <x:c r="D275" s="20" t="str">
        <x:v>ternary</x:v>
      </x:c>
      <x:c r="E275" s="36" t="n">
        <x:v>0.3333333432674408</x:v>
      </x:c>
      <x:c r="F275" s="36" t="n">
        <x:v>0.3333333432674408</x:v>
      </x:c>
      <x:c r="G275" s="36" t="n">
        <x:v>0.3333333432674408</x:v>
      </x:c>
      <x:c r="H275" s="36" t="n">
        <x:v>0.4092449763168891</x:v>
      </x:c>
      <x:c r="I275" s="36" t="n">
        <x:v>0.3605253143856923</x:v>
      </x:c>
      <x:c r="J275" s="36" t="n">
        <x:v>0.2302297130227089</x:v>
      </x:c>
      <x:c r="K275" s="23" t="n">
        <x:f>0.5*(ABS(H275-E275)+ABS(I275-F275)+ABS(J275-G275))*100</x:f>
        <x:v>10.310361720621586</x:v>
      </x:c>
      <x:c r="L275" s="20" t="n">
        <x:v>24</x:v>
      </x:c>
    </x:row>
    <x:row r="276">
      <x:c r="A276" s="20" t="str">
        <x:v>cnn</x:v>
      </x:c>
      <x:c r="B276" s="20" t="str">
        <x:v>DQ12-TB3-TH24.csv</x:v>
      </x:c>
      <x:c r="C276" s="20" t="n">
        <x:v>1</x:v>
      </x:c>
      <x:c r="D276" s="20" t="str">
        <x:v>ternary</x:v>
      </x:c>
      <x:c r="E276" s="36" t="n">
        <x:v>0.3076923191547394</x:v>
      </x:c>
      <x:c r="F276" s="36" t="n">
        <x:v>0.07692307978868484</x:v>
      </x:c>
      <x:c r="G276" s="36" t="n">
        <x:v>0.6153846383094788</x:v>
      </x:c>
      <x:c r="H276" s="36" t="n">
        <x:v>0.40023842081427574</x:v>
      </x:c>
      <x:c r="I276" s="36" t="n">
        <x:v>0.10163574611457686</x:v>
      </x:c>
      <x:c r="J276" s="36" t="n">
        <x:v>0.498125821352005</x:v>
      </x:c>
      <x:c r="K276" s="23" t="n">
        <x:f>0.5*(ABS(H276-E276)+ABS(I276-F276)+ABS(J276-G276))*100</x:f>
        <x:v>11.725879247145107</x:v>
      </x:c>
      <x:c r="L276" s="20" t="n">
        <x:v>24</x:v>
      </x:c>
    </x:row>
    <x:row r="277">
      <x:c r="A277" s="20" t="str">
        <x:v>cnn</x:v>
      </x:c>
      <x:c r="B277" s="20" t="str">
        <x:v>DQ150-TB50-TH0.csv</x:v>
      </x:c>
      <x:c r="C277" s="20" t="n">
        <x:v>1</x:v>
      </x:c>
      <x:c r="D277" s="20" t="str">
        <x:v>binary</x:v>
      </x:c>
      <x:c r="E277" s="36" t="n">
        <x:v>0.75</x:v>
      </x:c>
      <x:c r="F277" s="36" t="n">
        <x:v>0.25</x:v>
      </x:c>
      <x:c r="G277" s="36" t="n">
        <x:v>0</x:v>
      </x:c>
      <x:c r="H277" s="36" t="n">
        <x:v>0.5011812932789326</x:v>
      </x:c>
      <x:c r="I277" s="36" t="n">
        <x:v>0.37979771941900253</x:v>
      </x:c>
      <x:c r="J277" s="36" t="n">
        <x:v>0.11902098264545202</x:v>
      </x:c>
      <x:c r="K277" s="23" t="n">
        <x:f>0.5*(ABS(H277-E277)+ABS(I277-F277)+ABS(J277-G277))*100</x:f>
        <x:v>24.8818704392761</x:v>
      </x:c>
      <x:c r="L277" s="20" t="n">
        <x:v>24</x:v>
      </x:c>
    </x:row>
    <x:row r="278">
      <x:c r="A278" s="20" t="str">
        <x:v>cnn</x:v>
      </x:c>
      <x:c r="B278" s="20" t="str">
        <x:v>DQ24-TB24-TH24.csv</x:v>
      </x:c>
      <x:c r="C278" s="20" t="n">
        <x:v>1</x:v>
      </x:c>
      <x:c r="D278" s="20" t="str">
        <x:v>ternary</x:v>
      </x:c>
      <x:c r="E278" s="36" t="n">
        <x:v>0.3333333432674408</x:v>
      </x:c>
      <x:c r="F278" s="36" t="n">
        <x:v>0.3333333432674408</x:v>
      </x:c>
      <x:c r="G278" s="36" t="n">
        <x:v>0.3333333432674408</x:v>
      </x:c>
      <x:c r="H278" s="36" t="n">
        <x:v>0.306761600698034</x:v>
      </x:c>
      <x:c r="I278" s="36" t="n">
        <x:v>0.44108945069213706</x:v>
      </x:c>
      <x:c r="J278" s="36" t="n">
        <x:v>0.2521489445740978</x:v>
      </x:c>
      <x:c r="K278" s="23" t="n">
        <x:f>0.5*(ABS(H278-E278)+ABS(I278-F278)+ABS(J278-G278))*100</x:f>
        <x:v>10.775612434372302</x:v>
      </x:c>
      <x:c r="L278" s="20" t="n">
        <x:v>24</x:v>
      </x:c>
    </x:row>
    <x:row r="279">
      <x:c r="A279" s="20" t="str">
        <x:v>cnn</x:v>
      </x:c>
      <x:c r="B279" s="20" t="str">
        <x:v>DQ250-TB0-TH50.csv</x:v>
      </x:c>
      <x:c r="C279" s="20" t="n">
        <x:v>1</x:v>
      </x:c>
      <x:c r="D279" s="20" t="str">
        <x:v>binary</x:v>
      </x:c>
      <x:c r="E279" s="36" t="n">
        <x:v>0.8333333134651184</x:v>
      </x:c>
      <x:c r="F279" s="36" t="n">
        <x:v>0</x:v>
      </x:c>
      <x:c r="G279" s="36" t="n">
        <x:v>0.1666666716337204</x:v>
      </x:c>
      <x:c r="H279" s="36" t="n">
        <x:v>0.37586927476028603</x:v>
      </x:c>
      <x:c r="I279" s="36" t="n">
        <x:v>0.10218376208407183</x:v>
      </x:c>
      <x:c r="J279" s="36" t="n">
        <x:v>0.5219469585766395</x:v>
      </x:c>
      <x:c r="K279" s="23" t="n">
        <x:f>0.5*(ABS(H279-E279)+ABS(I279-F279)+ABS(J279-G279))*100</x:f>
        <x:v>45.746404386591166</x:v>
      </x:c>
      <x:c r="L279" s="20" t="n">
        <x:v>24</x:v>
      </x:c>
    </x:row>
    <x:row r="280">
      <x:c r="A280" s="20" t="str">
        <x:v>cnn</x:v>
      </x:c>
      <x:c r="B280" s="20" t="str">
        <x:v>DQ3-TB12-TH12.csv</x:v>
      </x:c>
      <x:c r="C280" s="20" t="n">
        <x:v>1</x:v>
      </x:c>
      <x:c r="D280" s="20" t="str">
        <x:v>ternary</x:v>
      </x:c>
      <x:c r="E280" s="36" t="n">
        <x:v>0.1111111119389534</x:v>
      </x:c>
      <x:c r="F280" s="36" t="n">
        <x:v>0.4444444477558136</x:v>
      </x:c>
      <x:c r="G280" s="36" t="n">
        <x:v>0.4444444477558136</x:v>
      </x:c>
      <x:c r="H280" s="36" t="n">
        <x:v>0.3641240578144789</x:v>
      </x:c>
      <x:c r="I280" s="36" t="n">
        <x:v>0.2985654280831416</x:v>
      </x:c>
      <x:c r="J280" s="36" t="n">
        <x:v>0.3373105221738418</x:v>
      </x:c>
      <x:c r="K280" s="23" t="n">
        <x:f>0.5*(ABS(H280-E280)+ABS(I280-F280)+ABS(J280-G280))*100</x:f>
        <x:v>25.301294556508463</x:v>
      </x:c>
      <x:c r="L280" s="20" t="n">
        <x:v>24</x:v>
      </x:c>
    </x:row>
    <x:row r="281">
      <x:c r="A281" s="20" t="str">
        <x:v>cnn</x:v>
      </x:c>
      <x:c r="B281" s="20" t="str">
        <x:v>DQ3-TB12-TH3.csv</x:v>
      </x:c>
      <x:c r="C281" s="20" t="n">
        <x:v>1</x:v>
      </x:c>
      <x:c r="D281" s="20" t="str">
        <x:v>ternary</x:v>
      </x:c>
      <x:c r="E281" s="36" t="n">
        <x:v>0.1666666716337204</x:v>
      </x:c>
      <x:c r="F281" s="36" t="n">
        <x:v>0.6666666865348816</x:v>
      </x:c>
      <x:c r="G281" s="36" t="n">
        <x:v>0.1666666716337204</x:v>
      </x:c>
      <x:c r="H281" s="36" t="n">
        <x:v>0.2772338942935069</x:v>
      </x:c>
      <x:c r="I281" s="36" t="n">
        <x:v>0.4427450547615687</x:v>
      </x:c>
      <x:c r="J281" s="36" t="n">
        <x:v>0.2800210441152255</x:v>
      </x:c>
      <x:c r="K281" s="23" t="n">
        <x:f>0.5*(ABS(H281-E281)+ABS(I281-F281)+ABS(J281-G281))*100</x:f>
        <x:v>22.392161345730223</x:v>
      </x:c>
      <x:c r="L281" s="20" t="n">
        <x:v>24</x:v>
      </x:c>
    </x:row>
    <x:row r="282">
      <x:c r="A282" s="20" t="str">
        <x:v>cnn</x:v>
      </x:c>
      <x:c r="B282" s="20" t="str">
        <x:v>DQ3-TB3-TH3.csv</x:v>
      </x:c>
      <x:c r="C282" s="20" t="n">
        <x:v>1</x:v>
      </x:c>
      <x:c r="D282" s="20" t="str">
        <x:v>ternary</x:v>
      </x:c>
      <x:c r="E282" s="36" t="n">
        <x:v>0.3333333432674408</x:v>
      </x:c>
      <x:c r="F282" s="36" t="n">
        <x:v>0.3333333432674408</x:v>
      </x:c>
      <x:c r="G282" s="36" t="n">
        <x:v>0.3333333432674408</x:v>
      </x:c>
      <x:c r="H282" s="36" t="n">
        <x:v>0.4877254938085874</x:v>
      </x:c>
      <x:c r="I282" s="36" t="n">
        <x:v>0.21411340093861023</x:v>
      </x:c>
      <x:c r="J282" s="36" t="n">
        <x:v>0.2981610984231035</x:v>
      </x:c>
      <x:c r="K282" s="23" t="n">
        <x:f>0.5*(ABS(H282-E282)+ABS(I282-F282)+ABS(J282-G282))*100</x:f>
        <x:v>15.43921688571572</x:v>
      </x:c>
      <x:c r="L282" s="20" t="n">
        <x:v>24</x:v>
      </x:c>
    </x:row>
    <x:row r="283">
      <x:c r="A283" s="20" t="str">
        <x:v>cnn</x:v>
      </x:c>
      <x:c r="B283" s="20" t="str">
        <x:v>DQ333-TB333-TH333.csv</x:v>
      </x:c>
      <x:c r="C283" s="20" t="n">
        <x:v>1</x:v>
      </x:c>
      <x:c r="D283" s="20" t="str">
        <x:v>ternary</x:v>
      </x:c>
      <x:c r="E283" s="36" t="n">
        <x:v>0.3333333432674408</x:v>
      </x:c>
      <x:c r="F283" s="36" t="n">
        <x:v>0.3333333432674408</x:v>
      </x:c>
      <x:c r="G283" s="36" t="n">
        <x:v>0.3333333432674408</x:v>
      </x:c>
      <x:c r="H283" s="36" t="n">
        <x:v>0.3860072089980046</x:v>
      </x:c>
      <x:c r="I283" s="36" t="n">
        <x:v>0.08799975047198434</x:v>
      </x:c>
      <x:c r="J283" s="36" t="n">
        <x:v>0.5259930528700352</x:v>
      </x:c>
      <x:c r="K283" s="23" t="n">
        <x:f>0.5*(ABS(H283-E283)+ABS(I283-F283)+ABS(J283-G283))*100</x:f>
        <x:v>24.533358406430732</x:v>
      </x:c>
      <x:c r="L283" s="20" t="n">
        <x:v>24</x:v>
      </x:c>
    </x:row>
    <x:row r="284">
      <x:c r="A284" s="20" t="str">
        <x:v>cnn</x:v>
      </x:c>
      <x:c r="B284" s="20" t="str">
        <x:v>DQ50-TB0-TH250.csv</x:v>
      </x:c>
      <x:c r="C284" s="20" t="n">
        <x:v>1</x:v>
      </x:c>
      <x:c r="D284" s="20" t="str">
        <x:v>binary</x:v>
      </x:c>
      <x:c r="E284" s="36" t="n">
        <x:v>0.1666666716337204</x:v>
      </x:c>
      <x:c r="F284" s="36" t="n">
        <x:v>0</x:v>
      </x:c>
      <x:c r="G284" s="36" t="n">
        <x:v>0.8333333134651184</x:v>
      </x:c>
      <x:c r="H284" s="36" t="n">
        <x:v>0.21249286426852146</x:v>
      </x:c>
      <x:c r="I284" s="36" t="n">
        <x:v>0.03778052213601768</x:v>
      </x:c>
      <x:c r="J284" s="36" t="n">
        <x:v>0.7497266183296839</x:v>
      </x:c>
      <x:c r="K284" s="23" t="n">
        <x:f>0.5*(ABS(H284-E284)+ABS(I284-F284)+ABS(J284-G284))*100</x:f>
        <x:v>8.360670495312663</x:v>
      </x:c>
      <x:c r="L284" s="20" t="n">
        <x:v>24</x:v>
      </x:c>
    </x:row>
    <x:row r="285">
      <x:c r="A285" s="20" t="str">
        <x:v>cnn</x:v>
      </x:c>
      <x:c r="B285" s="20" t="str">
        <x:v>DQ500-TB50-TH0.csv</x:v>
      </x:c>
      <x:c r="C285" s="20" t="n">
        <x:v>1</x:v>
      </x:c>
      <x:c r="D285" s="20" t="str">
        <x:v>binary</x:v>
      </x:c>
      <x:c r="E285" s="36" t="n">
        <x:v>0.9090909361839294</x:v>
      </x:c>
      <x:c r="F285" s="36" t="n">
        <x:v>0.09090909361839294</x:v>
      </x:c>
      <x:c r="G285" s="36" t="n">
        <x:v>0</x:v>
      </x:c>
      <x:c r="H285" s="36" t="n">
        <x:v>0.2574361066023509</x:v>
      </x:c>
      <x:c r="I285" s="36" t="n">
        <x:v>0.6928211922446886</x:v>
      </x:c>
      <x:c r="J285" s="36" t="n">
        <x:v>0.049742704179758825</x:v>
      </x:c>
      <x:c r="K285" s="23" t="n">
        <x:f>0.5*(ABS(H285-E285)+ABS(I285-F285)+ABS(J285-G285))*100</x:f>
        <x:v>65.16548161938167</x:v>
      </x:c>
      <x:c r="L285" s="20" t="n">
        <x:v>24</x:v>
      </x:c>
    </x:row>
    <x:row r="286">
      <x:c r="A286" s="20" t="str">
        <x:v>cnn</x:v>
      </x:c>
      <x:c r="B286" s="20" t="str">
        <x:v>DQ6-TB24-TH24.csv</x:v>
      </x:c>
      <x:c r="C286" s="20" t="n">
        <x:v>1</x:v>
      </x:c>
      <x:c r="D286" s="20" t="str">
        <x:v>ternary</x:v>
      </x:c>
      <x:c r="E286" s="36" t="n">
        <x:v>0.1111111119389534</x:v>
      </x:c>
      <x:c r="F286" s="36" t="n">
        <x:v>0.4444444477558136</x:v>
      </x:c>
      <x:c r="G286" s="36" t="n">
        <x:v>0.4444444477558136</x:v>
      </x:c>
      <x:c r="H286" s="36" t="n">
        <x:v>0.3320524301379919</x:v>
      </x:c>
      <x:c r="I286" s="36" t="n">
        <x:v>0.5112165026366711</x:v>
      </x:c>
      <x:c r="J286" s="36" t="n">
        <x:v>0.15673106474181017</x:v>
      </x:c>
      <x:c r="K286" s="23" t="n">
        <x:f>0.5*(ABS(H286-E286)+ABS(I286-F286)+ABS(J286-G286))*100</x:f>
        <x:v>28.77133780469497</x:v>
      </x:c>
      <x:c r="L286" s="20" t="n">
        <x:v>24</x:v>
      </x:c>
    </x:row>
    <x:row r="287">
      <x:c r="A287" s="20" t="str">
        <x:v>cnn</x:v>
      </x:c>
      <x:c r="B287" s="20" t="str">
        <x:v>DQ6-TB24-TH6.csv</x:v>
      </x:c>
      <x:c r="C287" s="20" t="n">
        <x:v>1</x:v>
      </x:c>
      <x:c r="D287" s="20" t="str">
        <x:v>ternary</x:v>
      </x:c>
      <x:c r="E287" s="36" t="n">
        <x:v>0.1666666716337204</x:v>
      </x:c>
      <x:c r="F287" s="36" t="n">
        <x:v>0.6666666865348816</x:v>
      </x:c>
      <x:c r="G287" s="36" t="n">
        <x:v>0.1666666716337204</x:v>
      </x:c>
      <x:c r="H287" s="36" t="n">
        <x:v>0.20670528865108886</x:v>
      </x:c>
      <x:c r="I287" s="36" t="n">
        <x:v>0.668417946745952</x:v>
      </x:c>
      <x:c r="J287" s="36" t="n">
        <x:v>0.12487674038857222</x:v>
      </x:c>
      <x:c r="K287" s="23" t="n">
        <x:f>0.5*(ABS(H287-E287)+ABS(I287-F287)+ABS(J287-G287))*100</x:f>
        <x:v>4.178990423679354</x:v>
      </x:c>
      <x:c r="L287" s="20" t="n">
        <x:v>24</x:v>
      </x:c>
    </x:row>
    <x:row r="288">
      <x:c r="A288" s="20" t="str">
        <x:v>cnn</x:v>
      </x:c>
      <x:c r="B288" s="20" t="str">
        <x:v>DQ6-TB3-TH24.csv</x:v>
      </x:c>
      <x:c r="C288" s="20" t="n">
        <x:v>1</x:v>
      </x:c>
      <x:c r="D288" s="20" t="str">
        <x:v>ternary</x:v>
      </x:c>
      <x:c r="E288" s="36" t="n">
        <x:v>0.1818181872367859</x:v>
      </x:c>
      <x:c r="F288" s="36" t="n">
        <x:v>0.09090909361839294</x:v>
      </x:c>
      <x:c r="G288" s="36" t="n">
        <x:v>0.7272727489471436</x:v>
      </x:c>
      <x:c r="H288" s="36" t="n">
        <x:v>0.3354837003474434</x:v>
      </x:c>
      <x:c r="I288" s="36" t="n">
        <x:v>0.17217410534309843</x:v>
      </x:c>
      <x:c r="J288" s="36" t="n">
        <x:v>0.4923421988884608</x:v>
      </x:c>
      <x:c r="K288" s="23" t="n">
        <x:f>0.5*(ABS(H288-E288)+ABS(I288-F288)+ABS(J288-G288))*100</x:f>
        <x:v>23.493053744702287</x:v>
      </x:c>
      <x:c r="L288" s="20" t="n">
        <x:v>24</x:v>
      </x:c>
    </x:row>
    <x:row r="289">
      <x:c r="A289" s="20" t="str">
        <x:v>cnn</x:v>
      </x:c>
      <x:c r="B289" s="20" t="str">
        <x:v>DQ6-TB6-TH6.csv</x:v>
      </x:c>
      <x:c r="C289" s="20" t="n">
        <x:v>1</x:v>
      </x:c>
      <x:c r="D289" s="20" t="str">
        <x:v>ternary</x:v>
      </x:c>
      <x:c r="E289" s="36" t="n">
        <x:v>0.3333333432674408</x:v>
      </x:c>
      <x:c r="F289" s="36" t="n">
        <x:v>0.3333333432674408</x:v>
      </x:c>
      <x:c r="G289" s="36" t="n">
        <x:v>0.3333333432674408</x:v>
      </x:c>
      <x:c r="H289" s="36" t="n">
        <x:v>0.44092657541235286</x:v>
      </x:c>
      <x:c r="I289" s="36" t="n">
        <x:v>0.32192946287492913</x:v>
      </x:c>
      <x:c r="J289" s="36" t="n">
        <x:v>0.23714397413035235</x:v>
      </x:c>
      <x:c r="K289" s="23" t="n">
        <x:f>0.5*(ABS(H289-E289)+ABS(I289-F289)+ABS(J289-G289))*100</x:f>
        <x:v>10.759324083725609</x:v>
      </x:c>
      <x:c r="L289" s="20" t="n">
        <x:v>24</x:v>
      </x:c>
    </x:row>
    <x:row r="290">
      <x:c r="A290" s="20" t="str">
        <x:v>cnn</x:v>
      </x:c>
      <x:c r="B290" s="20" t="str">
        <x:v>DQ0-TB250-TH50.csv</x:v>
      </x:c>
      <x:c r="C290" s="20" t="n">
        <x:v>2</x:v>
      </x:c>
      <x:c r="D290" s="20" t="str">
        <x:v>binary</x:v>
      </x:c>
      <x:c r="E290" s="36" t="n">
        <x:v>0</x:v>
      </x:c>
      <x:c r="F290" s="36" t="n">
        <x:v>0.8333333134651184</x:v>
      </x:c>
      <x:c r="G290" s="36" t="n">
        <x:v>0.1666666716337204</x:v>
      </x:c>
      <x:c r="H290" s="36" t="n">
        <x:v>0.42869026213884354</x:v>
      </x:c>
      <x:c r="I290" s="36" t="n">
        <x:v>0.21225943556055427</x:v>
      </x:c>
      <x:c r="J290" s="36" t="n">
        <x:v>0.3590503217031558</x:v>
      </x:c>
      <x:c r="K290" s="23" t="n">
        <x:f>0.5*(ABS(H290-E290)+ABS(I290-F290)+ABS(J290-G290))*100</x:f>
        <x:v>62.10738950564215</x:v>
      </x:c>
      <x:c r="L290" s="20" t="n">
        <x:v>24</x:v>
      </x:c>
    </x:row>
    <x:row r="291">
      <x:c r="A291" s="20" t="str">
        <x:v>cnn</x:v>
      </x:c>
      <x:c r="B291" s="20" t="str">
        <x:v>DQ0-TB500-TH50.csv</x:v>
      </x:c>
      <x:c r="C291" s="20" t="n">
        <x:v>2</x:v>
      </x:c>
      <x:c r="D291" s="20" t="str">
        <x:v>binary</x:v>
      </x:c>
      <x:c r="E291" s="36" t="n">
        <x:v>0</x:v>
      </x:c>
      <x:c r="F291" s="36" t="n">
        <x:v>0.9090909361839294</x:v>
      </x:c>
      <x:c r="G291" s="36" t="n">
        <x:v>0.09090909361839294</x:v>
      </x:c>
      <x:c r="H291" s="36" t="n">
        <x:v>0.11926334234885871</x:v>
      </x:c>
      <x:c r="I291" s="36" t="n">
        <x:v>0.6751143435637156</x:v>
      </x:c>
      <x:c r="J291" s="36" t="n">
        <x:v>0.2056223088875413</x:v>
      </x:c>
      <x:c r="K291" s="23" t="n">
        <x:f>0.5*(ABS(H291-E291)+ABS(I291-F291)+ABS(J291-G291))*100</x:f>
        <x:v>23.397657511911046</x:v>
      </x:c>
      <x:c r="L291" s="20" t="n">
        <x:v>24</x:v>
      </x:c>
    </x:row>
    <x:row r="292">
      <x:c r="A292" s="20" t="str">
        <x:v>cnn</x:v>
      </x:c>
      <x:c r="B292" s="20" t="str">
        <x:v>DQ12-TB12-TH24.csv</x:v>
      </x:c>
      <x:c r="C292" s="20" t="n">
        <x:v>2</x:v>
      </x:c>
      <x:c r="D292" s="20" t="str">
        <x:v>ternary</x:v>
      </x:c>
      <x:c r="E292" s="36" t="n">
        <x:v>0.25</x:v>
      </x:c>
      <x:c r="F292" s="36" t="n">
        <x:v>0.25</x:v>
      </x:c>
      <x:c r="G292" s="36" t="n">
        <x:v>0.5</x:v>
      </x:c>
      <x:c r="H292" s="36" t="n">
        <x:v>0.2904840375607212</x:v>
      </x:c>
      <x:c r="I292" s="36" t="n">
        <x:v>0.2704319494465987</x:v>
      </x:c>
      <x:c r="J292" s="36" t="n">
        <x:v>0.43908399902284145</x:v>
      </x:c>
      <x:c r="K292" s="23" t="n">
        <x:f>0.5*(ABS(H292-E292)+ABS(I292-F292)+ABS(J292-G292))*100</x:f>
        <x:v>6.091599399223924</x:v>
      </x:c>
      <x:c r="L292" s="20" t="n">
        <x:v>24</x:v>
      </x:c>
    </x:row>
    <x:row r="293">
      <x:c r="A293" s="20" t="str">
        <x:v>cnn</x:v>
      </x:c>
      <x:c r="B293" s="20" t="str">
        <x:v>DQ12-TB24-TH6.csv</x:v>
      </x:c>
      <x:c r="C293" s="20" t="n">
        <x:v>2</x:v>
      </x:c>
      <x:c r="D293" s="20" t="str">
        <x:v>ternary</x:v>
      </x:c>
      <x:c r="E293" s="36" t="n">
        <x:v>0.2857142984867096</x:v>
      </x:c>
      <x:c r="F293" s="36" t="n">
        <x:v>0.5714285969734192</x:v>
      </x:c>
      <x:c r="G293" s="36" t="n">
        <x:v>0.1428571492433548</x:v>
      </x:c>
      <x:c r="H293" s="36" t="n">
        <x:v>0.10932282079011202</x:v>
      </x:c>
      <x:c r="I293" s="36" t="n">
        <x:v>0.7278355434536934</x:v>
      </x:c>
      <x:c r="J293" s="36" t="n">
        <x:v>0.1628416245803237</x:v>
      </x:c>
      <x:c r="K293" s="23" t="n">
        <x:f>0.5*(ABS(H293-E293)+ABS(I293-F293)+ABS(J293-G293))*100</x:f>
        <x:v>17.639144975692034</x:v>
      </x:c>
      <x:c r="L293" s="20" t="n">
        <x:v>24</x:v>
      </x:c>
    </x:row>
    <x:row r="294">
      <x:c r="A294" s="20" t="str">
        <x:v>cnn</x:v>
      </x:c>
      <x:c r="B294" s="20" t="str">
        <x:v>DQ12-TB3-TH3.csv</x:v>
      </x:c>
      <x:c r="C294" s="20" t="n">
        <x:v>2</x:v>
      </x:c>
      <x:c r="D294" s="20" t="str">
        <x:v>ternary</x:v>
      </x:c>
      <x:c r="E294" s="36" t="n">
        <x:v>0.6666666865348816</x:v>
      </x:c>
      <x:c r="F294" s="36" t="n">
        <x:v>0.1666666716337204</x:v>
      </x:c>
      <x:c r="G294" s="36" t="n">
        <x:v>0.1666666716337204</x:v>
      </x:c>
      <x:c r="H294" s="36" t="n">
        <x:v>0.4149832911789417</x:v>
      </x:c>
      <x:c r="I294" s="36" t="n">
        <x:v>0.3242566079522173</x:v>
      </x:c>
      <x:c r="J294" s="36" t="n">
        <x:v>0.260760090003411</x:v>
      </x:c>
      <x:c r="K294" s="23" t="n">
        <x:f>0.5*(ABS(H294-E294)+ABS(I294-F294)+ABS(J294-G294))*100</x:f>
        <x:v>25.168337502206366</x:v>
      </x:c>
      <x:c r="L294" s="20" t="n">
        <x:v>24</x:v>
      </x:c>
    </x:row>
    <x:row r="295">
      <x:c r="A295" s="20" t="str">
        <x:v>cnn</x:v>
      </x:c>
      <x:c r="B295" s="20" t="str">
        <x:v>DQ12-TB6-TH6.csv</x:v>
      </x:c>
      <x:c r="C295" s="20" t="n">
        <x:v>2</x:v>
      </x:c>
      <x:c r="D295" s="20" t="str">
        <x:v>ternary</x:v>
      </x:c>
      <x:c r="E295" s="36" t="n">
        <x:v>0.5</x:v>
      </x:c>
      <x:c r="F295" s="36" t="n">
        <x:v>0.25</x:v>
      </x:c>
      <x:c r="G295" s="36" t="n">
        <x:v>0.25</x:v>
      </x:c>
      <x:c r="H295" s="36" t="n">
        <x:v>0.45456838980317116</x:v>
      </x:c>
      <x:c r="I295" s="36" t="n">
        <x:v>0.3361609360824029</x:v>
      </x:c>
      <x:c r="J295" s="36" t="n">
        <x:v>0.20927067597707114</x:v>
      </x:c>
      <x:c r="K295" s="23" t="n">
        <x:f>0.5*(ABS(H295-E295)+ABS(I295-F295)+ABS(J295-G295))*100</x:f>
        <x:v>8.61609351510803</x:v>
      </x:c>
      <x:c r="L295" s="20" t="n">
        <x:v>24</x:v>
      </x:c>
    </x:row>
    <x:row r="296">
      <x:c r="A296" s="20" t="str">
        <x:v>cnn</x:v>
      </x:c>
      <x:c r="B296" s="20" t="str">
        <x:v>DQ24-TB12-TH12.csv</x:v>
      </x:c>
      <x:c r="C296" s="20" t="n">
        <x:v>2</x:v>
      </x:c>
      <x:c r="D296" s="20" t="str">
        <x:v>ternary</x:v>
      </x:c>
      <x:c r="E296" s="36" t="n">
        <x:v>0.5</x:v>
      </x:c>
      <x:c r="F296" s="36" t="n">
        <x:v>0.25</x:v>
      </x:c>
      <x:c r="G296" s="36" t="n">
        <x:v>0.25</x:v>
      </x:c>
      <x:c r="H296" s="36" t="n">
        <x:v>0.3584876684471965</x:v>
      </x:c>
      <x:c r="I296" s="36" t="n">
        <x:v>0.1554131320056816</x:v>
      </x:c>
      <x:c r="J296" s="36" t="n">
        <x:v>0.4860992009441058</x:v>
      </x:c>
      <x:c r="K296" s="23" t="n">
        <x:f>0.5*(ABS(H296-E296)+ABS(I296-F296)+ABS(J296-G296))*100</x:f>
        <x:v>23.609920024561386</x:v>
      </x:c>
      <x:c r="L296" s="20" t="n">
        <x:v>24</x:v>
      </x:c>
    </x:row>
    <x:row r="297">
      <x:c r="A297" s="20" t="str">
        <x:v>cnn</x:v>
      </x:c>
      <x:c r="B297" s="20" t="str">
        <x:v>DQ24-TB12-TH3.csv</x:v>
      </x:c>
      <x:c r="C297" s="20" t="n">
        <x:v>2</x:v>
      </x:c>
      <x:c r="D297" s="20" t="str">
        <x:v>ternary</x:v>
      </x:c>
      <x:c r="E297" s="36" t="n">
        <x:v>0.6153846383094788</x:v>
      </x:c>
      <x:c r="F297" s="36" t="n">
        <x:v>0.3076923191547394</x:v>
      </x:c>
      <x:c r="G297" s="36" t="n">
        <x:v>0.07692307978868484</x:v>
      </x:c>
      <x:c r="H297" s="36" t="n">
        <x:v>0.3952712109312415</x:v>
      </x:c>
      <x:c r="I297" s="36" t="n">
        <x:v>0.3557139253243804</x:v>
      </x:c>
      <x:c r="J297" s="36" t="n">
        <x:v>0.24901487678289413</x:v>
      </x:c>
      <x:c r="K297" s="23" t="n">
        <x:f>0.5*(ABS(H297-E297)+ABS(I297-F297)+ABS(J297-G297))*100</x:f>
        <x:v>22.011341527104378</x:v>
      </x:c>
      <x:c r="L297" s="20" t="n">
        <x:v>24</x:v>
      </x:c>
    </x:row>
    <x:row r="298">
      <x:c r="A298" s="20" t="str">
        <x:v>cnn</x:v>
      </x:c>
      <x:c r="B298" s="20" t="str">
        <x:v>DQ24-TB6-TH6.csv</x:v>
      </x:c>
      <x:c r="C298" s="20" t="n">
        <x:v>2</x:v>
      </x:c>
      <x:c r="D298" s="20" t="str">
        <x:v>ternary</x:v>
      </x:c>
      <x:c r="E298" s="36" t="n">
        <x:v>0.6666666865348816</x:v>
      </x:c>
      <x:c r="F298" s="36" t="n">
        <x:v>0.1666666716337204</x:v>
      </x:c>
      <x:c r="G298" s="36" t="n">
        <x:v>0.1666666716337204</x:v>
      </x:c>
      <x:c r="H298" s="36" t="n">
        <x:v>0.30145739127571386</x:v>
      </x:c>
      <x:c r="I298" s="36" t="n">
        <x:v>0.36977390261987847</x:v>
      </x:c>
      <x:c r="J298" s="36" t="n">
        <x:v>0.32876870408654213</x:v>
      </x:c>
      <x:c r="K298" s="23" t="n">
        <x:f>0.5*(ABS(H298-E298)+ABS(I298-F298)+ABS(J298-G298))*100</x:f>
        <x:v>36.52092793490738</x:v>
      </x:c>
      <x:c r="L298" s="20" t="n">
        <x:v>24</x:v>
      </x:c>
    </x:row>
    <x:row r="299">
      <x:c r="A299" s="20" t="str">
        <x:v>cnn</x:v>
      </x:c>
      <x:c r="B299" s="20" t="str">
        <x:v>DQ3-TB24-TH3.csv</x:v>
      </x:c>
      <x:c r="C299" s="20" t="n">
        <x:v>2</x:v>
      </x:c>
      <x:c r="D299" s="20" t="str">
        <x:v>ternary</x:v>
      </x:c>
      <x:c r="E299" s="36" t="n">
        <x:v>0.10000000149011612</x:v>
      </x:c>
      <x:c r="F299" s="36" t="n">
        <x:v>0.800000011920929</x:v>
      </x:c>
      <x:c r="G299" s="36" t="n">
        <x:v>0.10000000149011612</x:v>
      </x:c>
      <x:c r="H299" s="36" t="n">
        <x:v>0.17815729385862747</x:v>
      </x:c>
      <x:c r="I299" s="36" t="n">
        <x:v>0.620205550144116</x:v>
      </x:c>
      <x:c r="J299" s="36" t="n">
        <x:v>0.20163716282695532</x:v>
      </x:c>
      <x:c r="K299" s="23" t="n">
        <x:f>0.5*(ABS(H299-E299)+ABS(I299-F299)+ABS(J299-G299))*100</x:f>
        <x:v>17.97944577410817</x:v>
      </x:c>
      <x:c r="L299" s="20" t="n">
        <x:v>24</x:v>
      </x:c>
    </x:row>
    <x:row r="300">
      <x:c r="A300" s="20" t="str">
        <x:v>cnn</x:v>
      </x:c>
      <x:c r="B300" s="20" t="str">
        <x:v>DQ3-TB3-TH24.csv</x:v>
      </x:c>
      <x:c r="C300" s="20" t="n">
        <x:v>2</x:v>
      </x:c>
      <x:c r="D300" s="20" t="str">
        <x:v>ternary</x:v>
      </x:c>
      <x:c r="E300" s="36" t="n">
        <x:v>0.10000000149011612</x:v>
      </x:c>
      <x:c r="F300" s="36" t="n">
        <x:v>0.10000000149011612</x:v>
      </x:c>
      <x:c r="G300" s="36" t="n">
        <x:v>0.800000011920929</x:v>
      </x:c>
      <x:c r="H300" s="36" t="n">
        <x:v>0.09190587691652279</x:v>
      </x:c>
      <x:c r="I300" s="36" t="n">
        <x:v>0.05318017145812822</x:v>
      </x:c>
      <x:c r="J300" s="36" t="n">
        <x:v>0.8549139313399792</x:v>
      </x:c>
      <x:c r="K300" s="23" t="n">
        <x:f>0.5*(ABS(H300-E300)+ABS(I300-F300)+ABS(J300-G300))*100</x:f>
        <x:v>5.491393701231573</x:v>
      </x:c>
      <x:c r="L300" s="20" t="n">
        <x:v>24</x:v>
      </x:c>
    </x:row>
    <x:row r="301">
      <x:c r="A301" s="20" t="str">
        <x:v>cnn</x:v>
      </x:c>
      <x:c r="B301" s="20" t="str">
        <x:v>DQ3-TB3-TH6.csv</x:v>
      </x:c>
      <x:c r="C301" s="20" t="n">
        <x:v>2</x:v>
      </x:c>
      <x:c r="D301" s="20" t="str">
        <x:v>ternary</x:v>
      </x:c>
      <x:c r="E301" s="36" t="n">
        <x:v>0.25</x:v>
      </x:c>
      <x:c r="F301" s="36" t="n">
        <x:v>0.25</x:v>
      </x:c>
      <x:c r="G301" s="36" t="n">
        <x:v>0.5</x:v>
      </x:c>
      <x:c r="H301" s="36" t="n">
        <x:v>0.13807914910527566</x:v>
      </x:c>
      <x:c r="I301" s="36" t="n">
        <x:v>0.42381302701930207</x:v>
      </x:c>
      <x:c r="J301" s="36" t="n">
        <x:v>0.43810781588157016</x:v>
      </x:c>
      <x:c r="K301" s="23" t="n">
        <x:f>0.5*(ABS(H301-E301)+ABS(I301-F301)+ABS(J301-G301))*100</x:f>
        <x:v>17.381303101622812</x:v>
      </x:c>
      <x:c r="L301" s="20" t="n">
        <x:v>24</x:v>
      </x:c>
    </x:row>
    <x:row r="302">
      <x:c r="A302" s="20" t="str">
        <x:v>cnn</x:v>
      </x:c>
      <x:c r="B302" s="20" t="str">
        <x:v>DQ333-TB333-TH33.csv</x:v>
      </x:c>
      <x:c r="C302" s="20" t="n">
        <x:v>2</x:v>
      </x:c>
      <x:c r="D302" s="20" t="str">
        <x:v>ternary</x:v>
      </x:c>
      <x:c r="E302" s="36" t="n">
        <x:v>0.4763948619365692</x:v>
      </x:c>
      <x:c r="F302" s="36" t="n">
        <x:v>0.4763948619365692</x:v>
      </x:c>
      <x:c r="G302" s="36" t="n">
        <x:v>0.04721030220389366</x:v>
      </x:c>
      <x:c r="H302" s="36" t="n">
        <x:v>0.5049704387784004</x:v>
      </x:c>
      <x:c r="I302" s="36" t="n">
        <x:v>0.33243955081949633</x:v>
      </x:c>
      <x:c r="J302" s="36" t="n">
        <x:v>0.1625899982949098</x:v>
      </x:c>
      <x:c r="K302" s="23" t="n">
        <x:f>0.5*(ABS(H302-E302)+ABS(I302-F302)+ABS(J302-G302))*100</x:f>
        <x:v>14.39552920249601</x:v>
      </x:c>
      <x:c r="L302" s="20" t="n">
        <x:v>24</x:v>
      </x:c>
    </x:row>
    <x:row r="303">
      <x:c r="A303" s="20" t="str">
        <x:v>cnn</x:v>
      </x:c>
      <x:c r="B303" s="20" t="str">
        <x:v>DQ50-TB150-TH0.csv</x:v>
      </x:c>
      <x:c r="C303" s="20" t="n">
        <x:v>2</x:v>
      </x:c>
      <x:c r="D303" s="20" t="str">
        <x:v>binary</x:v>
      </x:c>
      <x:c r="E303" s="36" t="n">
        <x:v>0.25</x:v>
      </x:c>
      <x:c r="F303" s="36" t="n">
        <x:v>0.75</x:v>
      </x:c>
      <x:c r="G303" s="36" t="n">
        <x:v>0</x:v>
      </x:c>
      <x:c r="H303" s="36" t="n">
        <x:v>0.3990955084251861</x:v>
      </x:c>
      <x:c r="I303" s="36" t="n">
        <x:v>0.5322524302949508</x:v>
      </x:c>
      <x:c r="J303" s="36" t="n">
        <x:v>0.06865207493926088</x:v>
      </x:c>
      <x:c r="K303" s="23" t="n">
        <x:f>0.5*(ABS(H303-E303)+ABS(I303-F303)+ABS(J303-G303))*100</x:f>
        <x:v>21.774757653474808</x:v>
      </x:c>
      <x:c r="L303" s="20" t="n">
        <x:v>24</x:v>
      </x:c>
    </x:row>
    <x:row r="304">
      <x:c r="A304" s="20" t="str">
        <x:v>cnn</x:v>
      </x:c>
      <x:c r="B304" s="20" t="str">
        <x:v>DQ500-TB0-TH500.csv</x:v>
      </x:c>
      <x:c r="C304" s="20" t="n">
        <x:v>2</x:v>
      </x:c>
      <x:c r="D304" s="20" t="str">
        <x:v>binary</x:v>
      </x:c>
      <x:c r="E304" s="36" t="n">
        <x:v>0.5</x:v>
      </x:c>
      <x:c r="F304" s="36" t="n">
        <x:v>0</x:v>
      </x:c>
      <x:c r="G304" s="36" t="n">
        <x:v>0.5</x:v>
      </x:c>
      <x:c r="H304" s="36" t="n">
        <x:v>0.38506477139890194</x:v>
      </x:c>
      <x:c r="I304" s="36" t="n">
        <x:v>0.19758191596095762</x:v>
      </x:c>
      <x:c r="J304" s="36" t="n">
        <x:v>0.41735331745197374</x:v>
      </x:c>
      <x:c r="K304" s="23" t="n">
        <x:f>0.5*(ABS(H304-E304)+ABS(I304-F304)+ABS(J304-G304))*100</x:f>
        <x:v>19.7581913555041</x:v>
      </x:c>
      <x:c r="L304" s="20" t="n">
        <x:v>24</x:v>
      </x:c>
    </x:row>
    <x:row r="305">
      <x:c r="A305" s="20" t="str">
        <x:v>cnn</x:v>
      </x:c>
      <x:c r="B305" s="20" t="str">
        <x:v>DQ6-TB12-TH3.csv</x:v>
      </x:c>
      <x:c r="C305" s="20" t="n">
        <x:v>2</x:v>
      </x:c>
      <x:c r="D305" s="20" t="str">
        <x:v>ternary</x:v>
      </x:c>
      <x:c r="E305" s="36" t="n">
        <x:v>0.2857142984867096</x:v>
      </x:c>
      <x:c r="F305" s="36" t="n">
        <x:v>0.5714285969734192</x:v>
      </x:c>
      <x:c r="G305" s="36" t="n">
        <x:v>0.1428571492433548</x:v>
      </x:c>
      <x:c r="H305" s="36" t="n">
        <x:v>0.35493512482692796</x:v>
      </x:c>
      <x:c r="I305" s="36" t="n">
        <x:v>0.4024241293470065</x:v>
      </x:c>
      <x:c r="J305" s="36" t="n">
        <x:v>0.24264073558151722</x:v>
      </x:c>
      <x:c r="K305" s="23" t="n">
        <x:f>0.5*(ABS(H305-E305)+ABS(I305-F305)+ABS(J305-G305))*100</x:f>
        <x:v>16.900444015239675</x:v>
      </x:c>
      <x:c r="L305" s="20" t="n">
        <x:v>24</x:v>
      </x:c>
    </x:row>
    <x:row r="306">
      <x:c r="A306" s="20" t="str">
        <x:v>cnn</x:v>
      </x:c>
      <x:c r="B306" s="20" t="str">
        <x:v>DQ6-TB3-TH3.csv</x:v>
      </x:c>
      <x:c r="C306" s="20" t="n">
        <x:v>2</x:v>
      </x:c>
      <x:c r="D306" s="20" t="str">
        <x:v>ternary</x:v>
      </x:c>
      <x:c r="E306" s="36" t="n">
        <x:v>0.5</x:v>
      </x:c>
      <x:c r="F306" s="36" t="n">
        <x:v>0.25</x:v>
      </x:c>
      <x:c r="G306" s="36" t="n">
        <x:v>0.25</x:v>
      </x:c>
      <x:c r="H306" s="36" t="n">
        <x:v>0.3623889771600564</x:v>
      </x:c>
      <x:c r="I306" s="36" t="n">
        <x:v>0.27725342847406864</x:v>
      </x:c>
      <x:c r="J306" s="36" t="n">
        <x:v>0.36035759436587494</x:v>
      </x:c>
      <x:c r="K306" s="23" t="n">
        <x:f>0.5*(ABS(H306-E306)+ABS(I306-F306)+ABS(J306-G306))*100</x:f>
        <x:v>13.761102283994358</x:v>
      </x:c>
      <x:c r="L306" s="20" t="n">
        <x:v>24</x:v>
      </x:c>
    </x:row>
    <x:row r="307">
      <x:c r="A307" s="20" t="str">
        <x:v>cnn</x:v>
      </x:c>
      <x:c r="B307" s="20" t="str">
        <x:v>DQ6-TB6-TH12.csv</x:v>
      </x:c>
      <x:c r="C307" s="20" t="n">
        <x:v>2</x:v>
      </x:c>
      <x:c r="D307" s="20" t="str">
        <x:v>ternary</x:v>
      </x:c>
      <x:c r="E307" s="36" t="n">
        <x:v>0.25</x:v>
      </x:c>
      <x:c r="F307" s="36" t="n">
        <x:v>0.25</x:v>
      </x:c>
      <x:c r="G307" s="36" t="n">
        <x:v>0.5</x:v>
      </x:c>
      <x:c r="H307" s="36" t="n">
        <x:v>0.3218248949075739</x:v>
      </x:c>
      <x:c r="I307" s="36" t="n">
        <x:v>0.2926838941251238</x:v>
      </x:c>
      <x:c r="J307" s="36" t="n">
        <x:v>0.3854912134508292</x:v>
      </x:c>
      <x:c r="K307" s="23" t="n">
        <x:f>0.5*(ABS(H307-E307)+ABS(I307-F307)+ABS(J307-G307))*100</x:f>
        <x:v>11.450878779093424</x:v>
      </x:c>
      <x:c r="L307" s="20" t="n">
        <x:v>24</x:v>
      </x:c>
    </x:row>
    <x:row r="308">
      <x:c r="A308" s="20" t="str">
        <x:v>cnn</x:v>
      </x:c>
      <x:c r="B308" s="20" t="str">
        <x:v>DQ12-TB12-TH6.csv</x:v>
      </x:c>
      <x:c r="C308" s="20" t="n">
        <x:v>3</x:v>
      </x:c>
      <x:c r="D308" s="20" t="str">
        <x:v>ternary</x:v>
      </x:c>
      <x:c r="E308" s="36" t="n">
        <x:v>0.4000000059604645</x:v>
      </x:c>
      <x:c r="F308" s="36" t="n">
        <x:v>0.4000000059604645</x:v>
      </x:c>
      <x:c r="G308" s="36" t="n">
        <x:v>0.20000000298023224</x:v>
      </x:c>
      <x:c r="H308" s="36" t="n">
        <x:v>0.33880791316429776</x:v>
      </x:c>
      <x:c r="I308" s="36" t="n">
        <x:v>0.3741027520348628</x:v>
      </x:c>
      <x:c r="J308" s="36" t="n">
        <x:v>0.28708931741615135</x:v>
      </x:c>
      <x:c r="K308" s="23" t="n">
        <x:f>0.5*(ABS(H308-E308)+ABS(I308-F308)+ABS(J308-G308))*100</x:f>
        <x:v>8.708933057884375</x:v>
      </x:c>
      <x:c r="L308" s="20" t="n">
        <x:v>24</x:v>
      </x:c>
    </x:row>
    <x:row r="309">
      <x:c r="A309" s="20" t="str">
        <x:v>cnn</x:v>
      </x:c>
      <x:c r="B309" s="20" t="str">
        <x:v>DQ12-TB24-TH24.csv</x:v>
      </x:c>
      <x:c r="C309" s="20" t="n">
        <x:v>3</x:v>
      </x:c>
      <x:c r="D309" s="20" t="str">
        <x:v>ternary</x:v>
      </x:c>
      <x:c r="E309" s="36" t="n">
        <x:v>0.20000000298023224</x:v>
      </x:c>
      <x:c r="F309" s="36" t="n">
        <x:v>0.4000000059604645</x:v>
      </x:c>
      <x:c r="G309" s="36" t="n">
        <x:v>0.4000000059604645</x:v>
      </x:c>
      <x:c r="H309" s="36" t="n">
        <x:v>0.2820795973141988</x:v>
      </x:c>
      <x:c r="I309" s="36" t="n">
        <x:v>0.3563143042847514</x:v>
      </x:c>
      <x:c r="J309" s="36" t="n">
        <x:v>0.36160609250267345</x:v>
      </x:c>
      <x:c r="K309" s="23" t="n">
        <x:f>0.5*(ABS(H309-E309)+ABS(I309-F309)+ABS(J309-G309))*100</x:f>
        <x:v>8.207960473373532</x:v>
      </x:c>
      <x:c r="L309" s="20" t="n">
        <x:v>24</x:v>
      </x:c>
    </x:row>
    <x:row r="310">
      <x:c r="A310" s="20" t="str">
        <x:v>cnn</x:v>
      </x:c>
      <x:c r="B310" s="20" t="str">
        <x:v>DQ12-TB24-TH3.csv</x:v>
      </x:c>
      <x:c r="C310" s="20" t="n">
        <x:v>3</x:v>
      </x:c>
      <x:c r="D310" s="20" t="str">
        <x:v>ternary</x:v>
      </x:c>
      <x:c r="E310" s="36" t="n">
        <x:v>0.3076923191547394</x:v>
      </x:c>
      <x:c r="F310" s="36" t="n">
        <x:v>0.6153846383094788</x:v>
      </x:c>
      <x:c r="G310" s="36" t="n">
        <x:v>0.07692307978868484</x:v>
      </x:c>
      <x:c r="H310" s="36" t="n">
        <x:v>0.3598149921745062</x:v>
      </x:c>
      <x:c r="I310" s="36" t="n">
        <x:v>0.46653126055995625</x:v>
      </x:c>
      <x:c r="J310" s="36" t="n">
        <x:v>0.17365374260892472</x:v>
      </x:c>
      <x:c r="K310" s="23" t="n">
        <x:f>0.5*(ABS(H310-E310)+ABS(I310-F310)+ABS(J310-G310))*100</x:f>
        <x:v>14.885335679476459</x:v>
      </x:c>
      <x:c r="L310" s="20" t="n">
        <x:v>24</x:v>
      </x:c>
    </x:row>
    <x:row r="311">
      <x:c r="A311" s="20" t="str">
        <x:v>cnn</x:v>
      </x:c>
      <x:c r="B311" s="20" t="str">
        <x:v>DQ12-TB3-TH12.csv</x:v>
      </x:c>
      <x:c r="C311" s="20" t="n">
        <x:v>3</x:v>
      </x:c>
      <x:c r="D311" s="20" t="str">
        <x:v>ternary</x:v>
      </x:c>
      <x:c r="E311" s="36" t="n">
        <x:v>0.4444444477558136</x:v>
      </x:c>
      <x:c r="F311" s="36" t="n">
        <x:v>0.1111111119389534</x:v>
      </x:c>
      <x:c r="G311" s="36" t="n">
        <x:v>0.4444444477558136</x:v>
      </x:c>
      <x:c r="H311" s="36" t="n">
        <x:v>0.4314718209207058</x:v>
      </x:c>
      <x:c r="I311" s="36" t="n">
        <x:v>0.15349972139423093</x:v>
      </x:c>
      <x:c r="J311" s="36" t="n">
        <x:v>0.41502846280733746</x:v>
      </x:c>
      <x:c r="K311" s="23" t="n">
        <x:f>0.5*(ABS(H311-E311)+ABS(I311-F311)+ABS(J311-G311))*100</x:f>
        <x:v>4.238861061943074</x:v>
      </x:c>
      <x:c r="L311" s="20" t="n">
        <x:v>24</x:v>
      </x:c>
    </x:row>
    <x:row r="312">
      <x:c r="A312" s="20" t="str">
        <x:v>cnn</x:v>
      </x:c>
      <x:c r="B312" s="20" t="str">
        <x:v>DQ12-TB6-TH3.csv</x:v>
      </x:c>
      <x:c r="C312" s="20" t="n">
        <x:v>3</x:v>
      </x:c>
      <x:c r="D312" s="20" t="str">
        <x:v>ternary</x:v>
      </x:c>
      <x:c r="E312" s="36" t="n">
        <x:v>0.5714285969734192</x:v>
      </x:c>
      <x:c r="F312" s="36" t="n">
        <x:v>0.2857142984867096</x:v>
      </x:c>
      <x:c r="G312" s="36" t="n">
        <x:v>0.1428571492433548</x:v>
      </x:c>
      <x:c r="H312" s="36" t="n">
        <x:v>0.4616972828904788</x:v>
      </x:c>
      <x:c r="I312" s="36" t="n">
        <x:v>0.2139825957516829</x:v>
      </x:c>
      <x:c r="J312" s="36" t="n">
        <x:v>0.3243201257040103</x:v>
      </x:c>
      <x:c r="K312" s="23" t="n">
        <x:f>0.5*(ABS(H312-E312)+ABS(I312-F312)+ABS(J312-G312))*100</x:f>
        <x:v>18.14629966393113</x:v>
      </x:c>
      <x:c r="L312" s="20" t="n">
        <x:v>24</x:v>
      </x:c>
    </x:row>
    <x:row r="313">
      <x:c r="A313" s="20" t="str">
        <x:v>cnn</x:v>
      </x:c>
      <x:c r="B313" s="20" t="str">
        <x:v>DQ24-TB12-TH6.csv</x:v>
      </x:c>
      <x:c r="C313" s="20" t="n">
        <x:v>3</x:v>
      </x:c>
      <x:c r="D313" s="20" t="str">
        <x:v>ternary</x:v>
      </x:c>
      <x:c r="E313" s="36" t="n">
        <x:v>0.5714285969734192</x:v>
      </x:c>
      <x:c r="F313" s="36" t="n">
        <x:v>0.2857142984867096</x:v>
      </x:c>
      <x:c r="G313" s="36" t="n">
        <x:v>0.1428571492433548</x:v>
      </x:c>
      <x:c r="H313" s="36" t="n">
        <x:v>0.4343063396712144</x:v>
      </x:c>
      <x:c r="I313" s="36" t="n">
        <x:v>0.2291877477740248</x:v>
      </x:c>
      <x:c r="J313" s="36" t="n">
        <x:v>0.33650590976079303</x:v>
      </x:c>
      <x:c r="K313" s="23" t="n">
        <x:f>0.5*(ABS(H313-E313)+ABS(I313-F313)+ABS(J313-G313))*100</x:f>
        <x:v>19.36487842661639</x:v>
      </x:c>
      <x:c r="L313" s="20" t="n">
        <x:v>24</x:v>
      </x:c>
    </x:row>
    <x:row r="314">
      <x:c r="A314" s="20" t="str">
        <x:v>cnn</x:v>
      </x:c>
      <x:c r="B314" s="20" t="str">
        <x:v>DQ24-TB24-TH12.csv</x:v>
      </x:c>
      <x:c r="C314" s="20" t="n">
        <x:v>3</x:v>
      </x:c>
      <x:c r="D314" s="20" t="str">
        <x:v>ternary</x:v>
      </x:c>
      <x:c r="E314" s="36" t="n">
        <x:v>0.4000000059604645</x:v>
      </x:c>
      <x:c r="F314" s="36" t="n">
        <x:v>0.4000000059604645</x:v>
      </x:c>
      <x:c r="G314" s="36" t="n">
        <x:v>0.20000000298023224</x:v>
      </x:c>
      <x:c r="H314" s="36" t="n">
        <x:v>0.35255239220956963</x:v>
      </x:c>
      <x:c r="I314" s="36" t="n">
        <x:v>0.24422357169290385</x:v>
      </x:c>
      <x:c r="J314" s="36" t="n">
        <x:v>0.40322403982281685</x:v>
      </x:c>
      <x:c r="K314" s="23" t="n">
        <x:f>0.5*(ABS(H314-E314)+ABS(I314-F314)+ABS(J314-G314))*100</x:f>
        <x:v>20.322404243052006</x:v>
      </x:c>
      <x:c r="L314" s="20" t="n">
        <x:v>24</x:v>
      </x:c>
    </x:row>
    <x:row r="315">
      <x:c r="A315" s="20" t="str">
        <x:v>cnn</x:v>
      </x:c>
      <x:c r="B315" s="20" t="str">
        <x:v>DQ24-TB24-TH3.csv</x:v>
      </x:c>
      <x:c r="C315" s="20" t="n">
        <x:v>3</x:v>
      </x:c>
      <x:c r="D315" s="20" t="str">
        <x:v>ternary</x:v>
      </x:c>
      <x:c r="E315" s="36" t="n">
        <x:v>0.47058823704719543</x:v>
      </x:c>
      <x:c r="F315" s="36" t="n">
        <x:v>0.47058823704719543</x:v>
      </x:c>
      <x:c r="G315" s="36" t="n">
        <x:v>0.05882352963089943</x:v>
      </x:c>
      <x:c r="H315" s="36" t="n">
        <x:v>0.3262101986135046</x:v>
      </x:c>
      <x:c r="I315" s="36" t="n">
        <x:v>0.4567470246305068</x:v>
      </x:c>
      <x:c r="J315" s="36" t="n">
        <x:v>0.21704277582466602</x:v>
      </x:c>
      <x:c r="K315" s="23" t="n">
        <x:f>0.5*(ABS(H315-E315)+ABS(I315-F315)+ABS(J315-G315))*100</x:f>
        <x:v>15.821924852207303</x:v>
      </x:c>
      <x:c r="L315" s="20" t="n">
        <x:v>24</x:v>
      </x:c>
    </x:row>
    <x:row r="316">
      <x:c r="A316" s="20" t="str">
        <x:v>cnn</x:v>
      </x:c>
      <x:c r="B316" s="20" t="str">
        <x:v>DQ24-TB6-TH24.csv</x:v>
      </x:c>
      <x:c r="C316" s="20" t="n">
        <x:v>3</x:v>
      </x:c>
      <x:c r="D316" s="20" t="str">
        <x:v>ternary</x:v>
      </x:c>
      <x:c r="E316" s="36" t="n">
        <x:v>0.4444444477558136</x:v>
      </x:c>
      <x:c r="F316" s="36" t="n">
        <x:v>0.1111111119389534</x:v>
      </x:c>
      <x:c r="G316" s="36" t="n">
        <x:v>0.4444444477558136</x:v>
      </x:c>
      <x:c r="H316" s="36" t="n">
        <x:v>0.3687015129253268</x:v>
      </x:c>
      <x:c r="I316" s="36" t="n">
        <x:v>0.0798147739842534</x:v>
      </x:c>
      <x:c r="J316" s="36" t="n">
        <x:v>0.5514837149530649</x:v>
      </x:c>
      <x:c r="K316" s="23" t="n">
        <x:f>0.5*(ABS(H316-E316)+ABS(I316-F316)+ABS(J316-G316))*100</x:f>
        <x:v>10.703926999121904</x:v>
      </x:c>
      <x:c r="L316" s="20" t="n">
        <x:v>24</x:v>
      </x:c>
    </x:row>
    <x:row r="317">
      <x:c r="A317" s="20" t="str">
        <x:v>cnn</x:v>
      </x:c>
      <x:c r="B317" s="20" t="str">
        <x:v>DQ250-TB50-TH0.csv</x:v>
      </x:c>
      <x:c r="C317" s="20" t="n">
        <x:v>3</x:v>
      </x:c>
      <x:c r="D317" s="20" t="str">
        <x:v>binary</x:v>
      </x:c>
      <x:c r="E317" s="36" t="n">
        <x:v>0.8333333134651184</x:v>
      </x:c>
      <x:c r="F317" s="36" t="n">
        <x:v>0.1666666716337204</x:v>
      </x:c>
      <x:c r="G317" s="36" t="n">
        <x:v>0</x:v>
      </x:c>
      <x:c r="H317" s="36" t="n">
        <x:v>0.3562539629638195</x:v>
      </x:c>
      <x:c r="I317" s="36" t="n">
        <x:v>0.5167284881075224</x:v>
      </x:c>
      <x:c r="J317" s="36" t="n">
        <x:v>0.1270175469107926</x:v>
      </x:c>
      <x:c r="K317" s="23" t="n">
        <x:f>0.5*(ABS(H317-E317)+ABS(I317-F317)+ABS(J317-G317))*100</x:f>
        <x:v>47.707935694294676</x:v>
      </x:c>
      <x:c r="L317" s="20" t="n">
        <x:v>24</x:v>
      </x:c>
    </x:row>
    <x:row r="318">
      <x:c r="A318" s="20" t="str">
        <x:v>cnn</x:v>
      </x:c>
      <x:c r="B318" s="20" t="str">
        <x:v>DQ3-TB12-TH24.csv</x:v>
      </x:c>
      <x:c r="C318" s="20" t="n">
        <x:v>3</x:v>
      </x:c>
      <x:c r="D318" s="20" t="str">
        <x:v>ternary</x:v>
      </x:c>
      <x:c r="E318" s="36" t="n">
        <x:v>0.07692307978868484</x:v>
      </x:c>
      <x:c r="F318" s="36" t="n">
        <x:v>0.3076923191547394</x:v>
      </x:c>
      <x:c r="G318" s="36" t="n">
        <x:v>0.6153846383094788</x:v>
      </x:c>
      <x:c r="H318" s="36" t="n">
        <x:v>0.32106998345504206</x:v>
      </x:c>
      <x:c r="I318" s="36" t="n">
        <x:v>0.12502387313482663</x:v>
      </x:c>
      <x:c r="J318" s="36" t="n">
        <x:v>0.5539061355714997</x:v>
      </x:c>
      <x:c r="K318" s="23" t="n">
        <x:f>0.5*(ABS(H318-E318)+ABS(I318-F318)+ABS(J318-G318))*100</x:f>
        <x:v>24.414692621212453</x:v>
      </x:c>
      <x:c r="L318" s="20" t="n">
        <x:v>24</x:v>
      </x:c>
    </x:row>
    <x:row r="319">
      <x:c r="A319" s="20" t="str">
        <x:v>cnn</x:v>
      </x:c>
      <x:c r="B319" s="20" t="str">
        <x:v>DQ3-TB6-TH6.csv</x:v>
      </x:c>
      <x:c r="C319" s="20" t="n">
        <x:v>3</x:v>
      </x:c>
      <x:c r="D319" s="20" t="str">
        <x:v>ternary</x:v>
      </x:c>
      <x:c r="E319" s="36" t="n">
        <x:v>0.20000000298023224</x:v>
      </x:c>
      <x:c r="F319" s="36" t="n">
        <x:v>0.4000000059604645</x:v>
      </x:c>
      <x:c r="G319" s="36" t="n">
        <x:v>0.4000000059604645</x:v>
      </x:c>
      <x:c r="H319" s="36" t="n">
        <x:v>0.21921565275018415</x:v>
      </x:c>
      <x:c r="I319" s="36" t="n">
        <x:v>0.20982354879379272</x:v>
      </x:c>
      <x:c r="J319" s="36" t="n">
        <x:v>0.5709607899188995</x:v>
      </x:c>
      <x:c r="K319" s="23" t="n">
        <x:f>0.5*(ABS(H319-E319)+ABS(I319-F319)+ABS(J319-G319))*100</x:f>
        <x:v>19.017644544752937</x:v>
      </x:c>
      <x:c r="L319" s="20" t="n">
        <x:v>24</x:v>
      </x:c>
    </x:row>
    <x:row r="320">
      <x:c r="A320" s="20" t="str">
        <x:v>cnn</x:v>
      </x:c>
      <x:c r="B320" s="20" t="str">
        <x:v>DQ50-TB0-TH150.csv</x:v>
      </x:c>
      <x:c r="C320" s="20" t="n">
        <x:v>3</x:v>
      </x:c>
      <x:c r="D320" s="20" t="str">
        <x:v>binary</x:v>
      </x:c>
      <x:c r="E320" s="36" t="n">
        <x:v>0.25</x:v>
      </x:c>
      <x:c r="F320" s="36" t="n">
        <x:v>0</x:v>
      </x:c>
      <x:c r="G320" s="36" t="n">
        <x:v>0.75</x:v>
      </x:c>
      <x:c r="H320" s="36" t="n">
        <x:v>0.20590490467535952</x:v>
      </x:c>
      <x:c r="I320" s="36" t="n">
        <x:v>0.12593622862671813</x:v>
      </x:c>
      <x:c r="J320" s="36" t="n">
        <x:v>0.6681588801244894</x:v>
      </x:c>
      <x:c r="K320" s="23" t="n">
        <x:f>0.5*(ABS(H320-E320)+ABS(I320-F320)+ABS(J320-G320))*100</x:f>
        <x:v>12.59362219134346</x:v>
      </x:c>
      <x:c r="L320" s="20" t="n">
        <x:v>24</x:v>
      </x:c>
    </x:row>
    <x:row r="321">
      <x:c r="A321" s="20" t="str">
        <x:v>cnn</x:v>
      </x:c>
      <x:c r="B321" s="20" t="str">
        <x:v>DQ50-TB250-TH0.csv</x:v>
      </x:c>
      <x:c r="C321" s="20" t="n">
        <x:v>3</x:v>
      </x:c>
      <x:c r="D321" s="20" t="str">
        <x:v>binary</x:v>
      </x:c>
      <x:c r="E321" s="36" t="n">
        <x:v>0.1666666716337204</x:v>
      </x:c>
      <x:c r="F321" s="36" t="n">
        <x:v>0.8333333134651184</x:v>
      </x:c>
      <x:c r="G321" s="36" t="n">
        <x:v>0</x:v>
      </x:c>
      <x:c r="H321" s="36" t="n">
        <x:v>0.318211663980037</x:v>
      </x:c>
      <x:c r="I321" s="36" t="n">
        <x:v>0.5812576736013094</x:v>
      </x:c>
      <x:c r="J321" s="36" t="n">
        <x:v>0.10053066055600841</x:v>
      </x:c>
      <x:c r="K321" s="23" t="n">
        <x:f>0.5*(ABS(H321-E321)+ABS(I321-F321)+ABS(J321-G321))*100</x:f>
        <x:v>25.2075646383067</x:v>
      </x:c>
      <x:c r="L321" s="20" t="n">
        <x:v>24</x:v>
      </x:c>
    </x:row>
    <x:row r="322">
      <x:c r="A322" s="20" t="str">
        <x:v>cnn</x:v>
      </x:c>
      <x:c r="B322" s="20" t="str">
        <x:v>DQ500-TB0-TH50.csv</x:v>
      </x:c>
      <x:c r="C322" s="20" t="n">
        <x:v>3</x:v>
      </x:c>
      <x:c r="D322" s="20" t="str">
        <x:v>binary</x:v>
      </x:c>
      <x:c r="E322" s="36" t="n">
        <x:v>0.9090909361839294</x:v>
      </x:c>
      <x:c r="F322" s="36" t="n">
        <x:v>0</x:v>
      </x:c>
      <x:c r="G322" s="36" t="n">
        <x:v>0.09090909361839294</x:v>
      </x:c>
      <x:c r="H322" s="36" t="n">
        <x:v>0.2404960246446232</x:v>
      </x:c>
      <x:c r="I322" s="36" t="n">
        <x:v>0.1462020566686988</x:v>
      </x:c>
      <x:c r="J322" s="36" t="n">
        <x:v>0.6133019266029199</x:v>
      </x:c>
      <x:c r="K322" s="23" t="n">
        <x:f>0.5*(ABS(H322-E322)+ABS(I322-F322)+ABS(J322-G322))*100</x:f>
        <x:v>66.85949005962661</x:v>
      </x:c>
      <x:c r="L322" s="20" t="n">
        <x:v>24</x:v>
      </x:c>
    </x:row>
    <x:row r="323">
      <x:c r="A323" s="20" t="str">
        <x:v>cnn</x:v>
      </x:c>
      <x:c r="B323" s="20" t="str">
        <x:v>DQ500-TB500-TH0.csv</x:v>
      </x:c>
      <x:c r="C323" s="20" t="n">
        <x:v>3</x:v>
      </x:c>
      <x:c r="D323" s="20" t="str">
        <x:v>binary</x:v>
      </x:c>
      <x:c r="E323" s="36" t="n">
        <x:v>0.5</x:v>
      </x:c>
      <x:c r="F323" s="36" t="n">
        <x:v>0.5</x:v>
      </x:c>
      <x:c r="G323" s="36" t="n">
        <x:v>0</x:v>
      </x:c>
      <x:c r="H323" s="36" t="n">
        <x:v>0.4463604340950648</x:v>
      </x:c>
      <x:c r="I323" s="36" t="n">
        <x:v>0.35531835972021025</x:v>
      </x:c>
      <x:c r="J323" s="36" t="n">
        <x:v>0.19832120587428412</x:v>
      </x:c>
      <x:c r="K323" s="23" t="n">
        <x:f>0.5*(ABS(H323-E323)+ABS(I323-F323)+ABS(J323-G323))*100</x:f>
        <x:v>19.832120602950454</x:v>
      </x:c>
      <x:c r="L323" s="20" t="n">
        <x:v>24</x:v>
      </x:c>
    </x:row>
    <x:row r="324">
      <x:c r="A324" s="20" t="str">
        <x:v>cnn</x:v>
      </x:c>
      <x:c r="B324" s="20" t="str">
        <x:v>DQ6-TB12-TH12.csv</x:v>
      </x:c>
      <x:c r="C324" s="20" t="n">
        <x:v>3</x:v>
      </x:c>
      <x:c r="D324" s="20" t="str">
        <x:v>ternary</x:v>
      </x:c>
      <x:c r="E324" s="36" t="n">
        <x:v>0.20000000298023224</x:v>
      </x:c>
      <x:c r="F324" s="36" t="n">
        <x:v>0.4000000059604645</x:v>
      </x:c>
      <x:c r="G324" s="36" t="n">
        <x:v>0.4000000059604645</x:v>
      </x:c>
      <x:c r="H324" s="36" t="n">
        <x:v>0.09116695200403531</x:v>
      </x:c>
      <x:c r="I324" s="36" t="n">
        <x:v>0.2980566055824359</x:v>
      </x:c>
      <x:c r="J324" s="36" t="n">
        <x:v>0.6107764405508836</x:v>
      </x:c>
      <x:c r="K324" s="23" t="n">
        <x:f>0.5*(ABS(H324-E324)+ABS(I324-F324)+ABS(J324-G324))*100</x:f>
        <x:v>21.077644297232233</x:v>
      </x:c>
      <x:c r="L324" s="20" t="n">
        <x:v>24</x:v>
      </x:c>
    </x:row>
    <x:row r="325">
      <x:c r="A325" s="20" t="str">
        <x:v>cnn</x:v>
      </x:c>
      <x:c r="B325" s="20" t="str">
        <x:v>DQ6-TB6-TH3.csv</x:v>
      </x:c>
      <x:c r="C325" s="20" t="n">
        <x:v>3</x:v>
      </x:c>
      <x:c r="D325" s="20" t="str">
        <x:v>ternary</x:v>
      </x:c>
      <x:c r="E325" s="36" t="n">
        <x:v>0.4000000059604645</x:v>
      </x:c>
      <x:c r="F325" s="36" t="n">
        <x:v>0.4000000059604645</x:v>
      </x:c>
      <x:c r="G325" s="36" t="n">
        <x:v>0.20000000298023224</x:v>
      </x:c>
      <x:c r="H325" s="36" t="n">
        <x:v>0.4523799754679203</x:v>
      </x:c>
      <x:c r="I325" s="36" t="n">
        <x:v>0.20539997766415277</x:v>
      </x:c>
      <x:c r="J325" s="36" t="n">
        <x:v>0.3422200394173463</x:v>
      </x:c>
      <x:c r="K325" s="23" t="n">
        <x:f>0.5*(ABS(H325-E325)+ABS(I325-F325)+ABS(J325-G325))*100</x:f>
        <x:v>19.46000171204408</x:v>
      </x:c>
      <x:c r="L325" s="20" t="n">
        <x:v>24</x:v>
      </x:c>
    </x:row>
    <x:row r="326">
      <x:c r="A326" s="20" t="str">
        <x:v>cnn</x:v>
      </x:c>
      <x:c r="B326" s="20" t="str">
        <x:v>DQ0-TB150-TH50.csv</x:v>
      </x:c>
      <x:c r="C326" s="20" t="n">
        <x:v>4</x:v>
      </x:c>
      <x:c r="D326" s="20" t="str">
        <x:v>binary</x:v>
      </x:c>
      <x:c r="E326" s="36" t="n">
        <x:v>0</x:v>
      </x:c>
      <x:c r="F326" s="36" t="n">
        <x:v>0.75</x:v>
      </x:c>
      <x:c r="G326" s="36" t="n">
        <x:v>0.25</x:v>
      </x:c>
      <x:c r="H326" s="36" t="n">
        <x:v>0.4880998767912388</x:v>
      </x:c>
      <x:c r="I326" s="36" t="n">
        <x:v>0.3093195523445805</x:v>
      </x:c>
      <x:c r="J326" s="36" t="n">
        <x:v>0.20258054820199808</x:v>
      </x:c>
      <x:c r="K326" s="23" t="n">
        <x:f>0.5*(ABS(H326-E326)+ABS(I326-F326)+ABS(J326-G326))*100</x:f>
        <x:v>48.809988812233016</x:v>
      </x:c>
      <x:c r="L326" s="20" t="n">
        <x:v>24</x:v>
      </x:c>
    </x:row>
    <x:row r="327">
      <x:c r="A327" s="20" t="str">
        <x:v>cnn</x:v>
      </x:c>
      <x:c r="B327" s="20" t="str">
        <x:v>DQ0-TB50-TH150.csv</x:v>
      </x:c>
      <x:c r="C327" s="20" t="n">
        <x:v>4</x:v>
      </x:c>
      <x:c r="D327" s="20" t="str">
        <x:v>binary</x:v>
      </x:c>
      <x:c r="E327" s="36" t="n">
        <x:v>0</x:v>
      </x:c>
      <x:c r="F327" s="36" t="n">
        <x:v>0.25</x:v>
      </x:c>
      <x:c r="G327" s="36" t="n">
        <x:v>0.75</x:v>
      </x:c>
      <x:c r="H327" s="36" t="n">
        <x:v>0.46265957690775394</x:v>
      </x:c>
      <x:c r="I327" s="36" t="n">
        <x:v>0.1597328606682519</x:v>
      </x:c>
      <x:c r="J327" s="36" t="n">
        <x:v>0.37760757592817146</x:v>
      </x:c>
      <x:c r="K327" s="23" t="n">
        <x:f>0.5*(ABS(H327-E327)+ABS(I327-F327)+ABS(J327-G327))*100</x:f>
        <x:v>46.26595701556653</x:v>
      </x:c>
      <x:c r="L327" s="20" t="n">
        <x:v>24</x:v>
      </x:c>
    </x:row>
    <x:row r="328">
      <x:c r="A328" s="20" t="str">
        <x:v>cnn</x:v>
      </x:c>
      <x:c r="B328" s="20" t="str">
        <x:v>DQ12-TB24-TH12.csv</x:v>
      </x:c>
      <x:c r="C328" s="20" t="n">
        <x:v>4</x:v>
      </x:c>
      <x:c r="D328" s="20" t="str">
        <x:v>ternary</x:v>
      </x:c>
      <x:c r="E328" s="36" t="n">
        <x:v>0.25</x:v>
      </x:c>
      <x:c r="F328" s="36" t="n">
        <x:v>0.5</x:v>
      </x:c>
      <x:c r="G328" s="36" t="n">
        <x:v>0.25</x:v>
      </x:c>
      <x:c r="H328" s="36" t="n">
        <x:v>0.27910855412483215</x:v>
      </x:c>
      <x:c r="I328" s="36" t="n">
        <x:v>0.5577032802005609</x:v>
      </x:c>
      <x:c r="J328" s="36" t="n">
        <x:v>0.16318816877901554</x:v>
      </x:c>
      <x:c r="K328" s="23" t="n">
        <x:f>0.5*(ABS(H328-E328)+ABS(I328-F328)+ABS(J328-G328))*100</x:f>
        <x:v>8.681183277318876</x:v>
      </x:c>
      <x:c r="L328" s="20" t="n">
        <x:v>24</x:v>
      </x:c>
    </x:row>
    <x:row r="329">
      <x:c r="A329" s="20" t="str">
        <x:v>cnn</x:v>
      </x:c>
      <x:c r="B329" s="20" t="str">
        <x:v>DQ12-TB6-TH24.csv</x:v>
      </x:c>
      <x:c r="C329" s="20" t="n">
        <x:v>4</x:v>
      </x:c>
      <x:c r="D329" s="20" t="str">
        <x:v>ternary</x:v>
      </x:c>
      <x:c r="E329" s="36" t="n">
        <x:v>0.2857142984867096</x:v>
      </x:c>
      <x:c r="F329" s="36" t="n">
        <x:v>0.1428571492433548</x:v>
      </x:c>
      <x:c r="G329" s="36" t="n">
        <x:v>0.5714285969734192</x:v>
      </x:c>
      <x:c r="H329" s="36" t="n">
        <x:v>0.40982116386294365</x:v>
      </x:c>
      <x:c r="I329" s="36" t="n">
        <x:v>0.11706216043482225</x:v>
      </x:c>
      <x:c r="J329" s="36" t="n">
        <x:v>0.4731166747709115</x:v>
      </x:c>
      <x:c r="K329" s="23" t="n">
        <x:f>0.5*(ABS(H329-E329)+ABS(I329-F329)+ABS(J329-G329))*100</x:f>
        <x:v>12.410688819363713</x:v>
      </x:c>
      <x:c r="L329" s="20" t="n">
        <x:v>24</x:v>
      </x:c>
    </x:row>
    <x:row r="330">
      <x:c r="A330" s="20" t="str">
        <x:v>cnn</x:v>
      </x:c>
      <x:c r="B330" s="20" t="str">
        <x:v>DQ24-TB3-TH12.csv</x:v>
      </x:c>
      <x:c r="C330" s="20" t="n">
        <x:v>4</x:v>
      </x:c>
      <x:c r="D330" s="20" t="str">
        <x:v>ternary</x:v>
      </x:c>
      <x:c r="E330" s="36" t="n">
        <x:v>0.6153846383094788</x:v>
      </x:c>
      <x:c r="F330" s="36" t="n">
        <x:v>0.07692307978868484</x:v>
      </x:c>
      <x:c r="G330" s="36" t="n">
        <x:v>0.3076923191547394</x:v>
      </x:c>
      <x:c r="H330" s="36" t="n">
        <x:v>0.2866725629816453</x:v>
      </x:c>
      <x:c r="I330" s="36" t="n">
        <x:v>0.06061618435584629</x:v>
      </x:c>
      <x:c r="J330" s="36" t="n">
        <x:v>0.652711246162653</x:v>
      </x:c>
      <x:c r="K330" s="23" t="n">
        <x:f>0.5*(ABS(H330-E330)+ABS(I330-F330)+ABS(J330-G330))*100</x:f>
        <x:v>34.50189488842928</x:v>
      </x:c>
      <x:c r="L330" s="20" t="n">
        <x:v>24</x:v>
      </x:c>
    </x:row>
    <x:row r="331">
      <x:c r="A331" s="20" t="str">
        <x:v>cnn</x:v>
      </x:c>
      <x:c r="B331" s="20" t="str">
        <x:v>DQ24-TB3-TH3.csv</x:v>
      </x:c>
      <x:c r="C331" s="20" t="n">
        <x:v>4</x:v>
      </x:c>
      <x:c r="D331" s="20" t="str">
        <x:v>ternary</x:v>
      </x:c>
      <x:c r="E331" s="36" t="n">
        <x:v>0.800000011920929</x:v>
      </x:c>
      <x:c r="F331" s="36" t="n">
        <x:v>0.10000000149011612</x:v>
      </x:c>
      <x:c r="G331" s="36" t="n">
        <x:v>0.10000000149011612</x:v>
      </x:c>
      <x:c r="H331" s="36" t="n">
        <x:v>0.41115858778357506</x:v>
      </x:c>
      <x:c r="I331" s="36" t="n">
        <x:v>0.2927682862306635</x:v>
      </x:c>
      <x:c r="J331" s="36" t="n">
        <x:v>0.29607312598576147</x:v>
      </x:c>
      <x:c r="K331" s="23" t="n">
        <x:f>0.5*(ABS(H331-E331)+ABS(I331-F331)+ABS(J331-G331))*100</x:f>
        <x:v>38.88414166867733</x:v>
      </x:c>
      <x:c r="L331" s="20" t="n">
        <x:v>24</x:v>
      </x:c>
    </x:row>
    <x:row r="332">
      <x:c r="A332" s="20" t="str">
        <x:v>cnn</x:v>
      </x:c>
      <x:c r="B332" s="20" t="str">
        <x:v>DQ24-TB3-TH6.csv</x:v>
      </x:c>
      <x:c r="C332" s="20" t="n">
        <x:v>4</x:v>
      </x:c>
      <x:c r="D332" s="20" t="str">
        <x:v>ternary</x:v>
      </x:c>
      <x:c r="E332" s="36" t="n">
        <x:v>0.7272727489471436</x:v>
      </x:c>
      <x:c r="F332" s="36" t="n">
        <x:v>0.09090909361839294</x:v>
      </x:c>
      <x:c r="G332" s="36" t="n">
        <x:v>0.1818181872367859</x:v>
      </x:c>
      <x:c r="H332" s="36" t="n">
        <x:v>0.3878762734433015</x:v>
      </x:c>
      <x:c r="I332" s="36" t="n">
        <x:v>0.12303131725639105</x:v>
      </x:c>
      <x:c r="J332" s="36" t="n">
        <x:v>0.4890923996766408</x:v>
      </x:c>
      <x:c r="K332" s="23" t="n">
        <x:f>0.5*(ABS(H332-E332)+ABS(I332-F332)+ABS(J332-G332))*100</x:f>
        <x:v>33.939645579084754</x:v>
      </x:c>
      <x:c r="L332" s="20" t="n">
        <x:v>24</x:v>
      </x:c>
    </x:row>
    <x:row r="333">
      <x:c r="A333" s="20" t="str">
        <x:v>cnn</x:v>
      </x:c>
      <x:c r="B333" s="20" t="str">
        <x:v>DQ24-TB6-TH3.csv</x:v>
      </x:c>
      <x:c r="C333" s="20" t="n">
        <x:v>4</x:v>
      </x:c>
      <x:c r="D333" s="20" t="str">
        <x:v>ternary</x:v>
      </x:c>
      <x:c r="E333" s="36" t="n">
        <x:v>0.7272727489471436</x:v>
      </x:c>
      <x:c r="F333" s="36" t="n">
        <x:v>0.1818181872367859</x:v>
      </x:c>
      <x:c r="G333" s="36" t="n">
        <x:v>0.09090909361839294</x:v>
      </x:c>
      <x:c r="H333" s="36" t="n">
        <x:v>0.3414449766278267</x:v>
      </x:c>
      <x:c r="I333" s="36" t="n">
        <x:v>0.3317180210724473</x:v>
      </x:c>
      <x:c r="J333" s="36" t="n">
        <x:v>0.32683698274195194</x:v>
      </x:c>
      <x:c r="K333" s="23" t="n">
        <x:f>0.5*(ABS(H333-E333)+ABS(I333-F333)+ABS(J333-G333))*100</x:f>
        <x:v>38.582774763926864</x:v>
      </x:c>
      <x:c r="L333" s="20" t="n">
        <x:v>24</x:v>
      </x:c>
    </x:row>
    <x:row r="334">
      <x:c r="A334" s="20" t="str">
        <x:v>cnn</x:v>
      </x:c>
      <x:c r="B334" s="20" t="str">
        <x:v>DQ3-TB12-TH6.csv</x:v>
      </x:c>
      <x:c r="C334" s="20" t="n">
        <x:v>4</x:v>
      </x:c>
      <x:c r="D334" s="20" t="str">
        <x:v>ternary</x:v>
      </x:c>
      <x:c r="E334" s="36" t="n">
        <x:v>0.1428571492433548</x:v>
      </x:c>
      <x:c r="F334" s="36" t="n">
        <x:v>0.5714285969734192</x:v>
      </x:c>
      <x:c r="G334" s="36" t="n">
        <x:v>0.2857142984867096</x:v>
      </x:c>
      <x:c r="H334" s="36" t="n">
        <x:v>0.2686350780228774</x:v>
      </x:c>
      <x:c r="I334" s="36" t="n">
        <x:v>0.40191854164004326</x:v>
      </x:c>
      <x:c r="J334" s="36" t="n">
        <x:v>0.32944638344148797</x:v>
      </x:c>
      <x:c r="K334" s="23" t="n">
        <x:f>0.5*(ABS(H334-E334)+ABS(I334-F334)+ABS(J334-G334))*100</x:f>
        <x:v>16.951003453383844</x:v>
      </x:c>
      <x:c r="L334" s="20" t="n">
        <x:v>24</x:v>
      </x:c>
    </x:row>
    <x:row r="335">
      <x:c r="A335" s="20" t="str">
        <x:v>cnn</x:v>
      </x:c>
      <x:c r="B335" s="20" t="str">
        <x:v>DQ3-TB24-TH12.csv</x:v>
      </x:c>
      <x:c r="C335" s="20" t="n">
        <x:v>4</x:v>
      </x:c>
      <x:c r="D335" s="20" t="str">
        <x:v>ternary</x:v>
      </x:c>
      <x:c r="E335" s="36" t="n">
        <x:v>0.07692307978868484</x:v>
      </x:c>
      <x:c r="F335" s="36" t="n">
        <x:v>0.6153846383094788</x:v>
      </x:c>
      <x:c r="G335" s="36" t="n">
        <x:v>0.3076923191547394</x:v>
      </x:c>
      <x:c r="H335" s="36" t="n">
        <x:v>0.1720989883566896</x:v>
      </x:c>
      <x:c r="I335" s="36" t="n">
        <x:v>0.7128574922680855</x:v>
      </x:c>
      <x:c r="J335" s="36" t="n">
        <x:v>0.11504352077220877</x:v>
      </x:c>
      <x:c r="K335" s="23" t="n">
        <x:f>0.5*(ABS(H335-E335)+ABS(I335-F335)+ABS(J335-G335))*100</x:f>
        <x:v>19.264878045457106</x:v>
      </x:c>
      <x:c r="L335" s="20" t="n">
        <x:v>24</x:v>
      </x:c>
    </x:row>
    <x:row r="336">
      <x:c r="A336" s="20" t="str">
        <x:v>cnn</x:v>
      </x:c>
      <x:c r="B336" s="20" t="str">
        <x:v>DQ3-TB6-TH12.csv</x:v>
      </x:c>
      <x:c r="C336" s="20" t="n">
        <x:v>4</x:v>
      </x:c>
      <x:c r="D336" s="20" t="str">
        <x:v>ternary</x:v>
      </x:c>
      <x:c r="E336" s="36" t="n">
        <x:v>0.1428571492433548</x:v>
      </x:c>
      <x:c r="F336" s="36" t="n">
        <x:v>0.2857142984867096</x:v>
      </x:c>
      <x:c r="G336" s="36" t="n">
        <x:v>0.5714285969734192</x:v>
      </x:c>
      <x:c r="H336" s="36" t="n">
        <x:v>0.2429096233099699</x:v>
      </x:c>
      <x:c r="I336" s="36" t="n">
        <x:v>0.1961155403405428</x:v>
      </x:c>
      <x:c r="J336" s="36" t="n">
        <x:v>0.5609748406956593</x:v>
      </x:c>
      <x:c r="K336" s="23" t="n">
        <x:f>0.5*(ABS(H336-E336)+ABS(I336-F336)+ABS(J336-G336))*100</x:f>
        <x:v>10.00524942452709</x:v>
      </x:c>
      <x:c r="L336" s="20" t="n">
        <x:v>24</x:v>
      </x:c>
    </x:row>
    <x:row r="337">
      <x:c r="A337" s="20" t="str">
        <x:v>cnn</x:v>
      </x:c>
      <x:c r="B337" s="20" t="str">
        <x:v>DQ3-TB6-TH24.csv</x:v>
      </x:c>
      <x:c r="C337" s="20" t="n">
        <x:v>4</x:v>
      </x:c>
      <x:c r="D337" s="20" t="str">
        <x:v>ternary</x:v>
      </x:c>
      <x:c r="E337" s="36" t="n">
        <x:v>0.09090909361839294</x:v>
      </x:c>
      <x:c r="F337" s="36" t="n">
        <x:v>0.1818181872367859</x:v>
      </x:c>
      <x:c r="G337" s="36" t="n">
        <x:v>0.7272727489471436</x:v>
      </x:c>
      <x:c r="H337" s="36" t="n">
        <x:v>0.27940678782761097</x:v>
      </x:c>
      <x:c r="I337" s="36" t="n">
        <x:v>0.06400242843665183</x:v>
      </x:c>
      <x:c r="J337" s="36" t="n">
        <x:v>0.6565907895565033</x:v>
      </x:c>
      <x:c r="K337" s="23" t="n">
        <x:f>0.5*(ABS(H337-E337)+ABS(I337-F337)+ABS(J337-G337))*100</x:f>
        <x:v>18.849770619999617</x:v>
      </x:c>
      <x:c r="L337" s="20" t="n">
        <x:v>24</x:v>
      </x:c>
    </x:row>
    <x:row r="338">
      <x:c r="A338" s="20" t="str">
        <x:v>cnn</x:v>
      </x:c>
      <x:c r="B338" s="20" t="str">
        <x:v>DQ3-TB6-TH3.csv</x:v>
      </x:c>
      <x:c r="C338" s="20" t="n">
        <x:v>4</x:v>
      </x:c>
      <x:c r="D338" s="20" t="str">
        <x:v>ternary</x:v>
      </x:c>
      <x:c r="E338" s="36" t="n">
        <x:v>0.25</x:v>
      </x:c>
      <x:c r="F338" s="36" t="n">
        <x:v>0.5</x:v>
      </x:c>
      <x:c r="G338" s="36" t="n">
        <x:v>0.25</x:v>
      </x:c>
      <x:c r="H338" s="36" t="n">
        <x:v>0.3619512300938368</x:v>
      </x:c>
      <x:c r="I338" s="36" t="n">
        <x:v>0.3037992961083849</x:v>
      </x:c>
      <x:c r="J338" s="36" t="n">
        <x:v>0.33424948404232663</x:v>
      </x:c>
      <x:c r="K338" s="23" t="n">
        <x:f>0.5*(ABS(H338-E338)+ABS(I338-F338)+ABS(J338-G338))*100</x:f>
        <x:v>19.620070901388925</x:v>
      </x:c>
      <x:c r="L338" s="20" t="n">
        <x:v>24</x:v>
      </x:c>
    </x:row>
    <x:row r="339">
      <x:c r="A339" s="20" t="str">
        <x:v>cnn</x:v>
      </x:c>
      <x:c r="B339" s="20" t="str">
        <x:v>DQ33-TB333-TH333.csv</x:v>
      </x:c>
      <x:c r="C339" s="20" t="n">
        <x:v>4</x:v>
      </x:c>
      <x:c r="D339" s="20" t="str">
        <x:v>ternary</x:v>
      </x:c>
      <x:c r="E339" s="36" t="n">
        <x:v>0.04721030220389366</x:v>
      </x:c>
      <x:c r="F339" s="36" t="n">
        <x:v>0.4763948619365692</x:v>
      </x:c>
      <x:c r="G339" s="36" t="n">
        <x:v>0.4763948619365692</x:v>
      </x:c>
      <x:c r="H339" s="36" t="n">
        <x:v>0.14151787230124077</x:v>
      </x:c>
      <x:c r="I339" s="36" t="n">
        <x:v>0.03145286929793656</x:v>
      </x:c>
      <x:c r="J339" s="36" t="n">
        <x:v>0.8270292530457178</x:v>
      </x:c>
      <x:c r="K339" s="23" t="n">
        <x:f>0.5*(ABS(H339-E339)+ABS(I339-F339)+ABS(J339-G339))*100</x:f>
        <x:v>44.49419769225642</x:v>
      </x:c>
      <x:c r="L339" s="20" t="n">
        <x:v>24</x:v>
      </x:c>
    </x:row>
    <x:row r="340">
      <x:c r="A340" s="20" t="str">
        <x:v>cnn</x:v>
      </x:c>
      <x:c r="B340" s="20" t="str">
        <x:v>DQ6-TB12-TH24.csv</x:v>
      </x:c>
      <x:c r="C340" s="20" t="n">
        <x:v>4</x:v>
      </x:c>
      <x:c r="D340" s="20" t="str">
        <x:v>ternary</x:v>
      </x:c>
      <x:c r="E340" s="36" t="n">
        <x:v>0.1428571492433548</x:v>
      </x:c>
      <x:c r="F340" s="36" t="n">
        <x:v>0.2857142984867096</x:v>
      </x:c>
      <x:c r="G340" s="36" t="n">
        <x:v>0.5714285969734192</x:v>
      </x:c>
      <x:c r="H340" s="36" t="n">
        <x:v>0.22427910193800926</x:v>
      </x:c>
      <x:c r="I340" s="36" t="n">
        <x:v>0.15954536153003573</x:v>
      </x:c>
      <x:c r="J340" s="36" t="n">
        <x:v>0.6161755484839281</x:v>
      </x:c>
      <x:c r="K340" s="23" t="n">
        <x:f>0.5*(ABS(H340-E340)+ABS(I340-F340)+ABS(J340-G340))*100</x:f>
        <x:v>12.61689205809186</x:v>
      </x:c>
      <x:c r="L340" s="20" t="n">
        <x:v>24</x:v>
      </x:c>
    </x:row>
    <x:row r="341">
      <x:c r="A341" s="20" t="str">
        <x:v>cnn</x:v>
      </x:c>
      <x:c r="B341" s="20" t="str">
        <x:v>DQ6-TB12-TH6.csv</x:v>
      </x:c>
      <x:c r="C341" s="20" t="n">
        <x:v>4</x:v>
      </x:c>
      <x:c r="D341" s="20" t="str">
        <x:v>ternary</x:v>
      </x:c>
      <x:c r="E341" s="36" t="n">
        <x:v>0.25</x:v>
      </x:c>
      <x:c r="F341" s="36" t="n">
        <x:v>0.5</x:v>
      </x:c>
      <x:c r="G341" s="36" t="n">
        <x:v>0.25</x:v>
      </x:c>
      <x:c r="H341" s="36" t="n">
        <x:v>0.3965810425579548</x:v>
      </x:c>
      <x:c r="I341" s="36" t="n">
        <x:v>0.3622265812009573</x:v>
      </x:c>
      <x:c r="J341" s="36" t="n">
        <x:v>0.24119237049793205</x:v>
      </x:c>
      <x:c r="K341" s="23" t="n">
        <x:f>0.5*(ABS(H341-E341)+ABS(I341-F341)+ABS(J341-G341))*100</x:f>
        <x:v>14.658104542953271</x:v>
      </x:c>
      <x:c r="L341" s="20" t="n">
        <x:v>24</x:v>
      </x:c>
    </x:row>
    <x:row r="342">
      <x:c r="A342" s="20" t="str">
        <x:v>cnn</x:v>
      </x:c>
      <x:c r="B342" s="20" t="str">
        <x:v>DQ6-TB24-TH12.csv</x:v>
      </x:c>
      <x:c r="C342" s="20" t="n">
        <x:v>4</x:v>
      </x:c>
      <x:c r="D342" s="20" t="str">
        <x:v>ternary</x:v>
      </x:c>
      <x:c r="E342" s="36" t="n">
        <x:v>0.1428571492433548</x:v>
      </x:c>
      <x:c r="F342" s="36" t="n">
        <x:v>0.5714285969734192</x:v>
      </x:c>
      <x:c r="G342" s="36" t="n">
        <x:v>0.2857142984867096</x:v>
      </x:c>
      <x:c r="H342" s="36" t="n">
        <x:v>0.186477550615867</x:v>
      </x:c>
      <x:c r="I342" s="36" t="n">
        <x:v>0.5551796505848566</x:v>
      </x:c>
      <x:c r="J342" s="36" t="n">
        <x:v>0.2583427866920829</x:v>
      </x:c>
      <x:c r="K342" s="23" t="n">
        <x:f>0.5*(ABS(H342-E342)+ABS(I342-F342)+ABS(J342-G342))*100</x:f>
        <x:v>4.362042977785073</x:v>
      </x:c>
      <x:c r="L342" s="20" t="n">
        <x:v>24</x:v>
      </x:c>
    </x:row>
    <x:row r="343">
      <x:c r="A343" s="20" t="str">
        <x:v>cnn</x:v>
      </x:c>
      <x:c r="B343" s="20" t="str">
        <x:v>DQ6-TB3-TH12.csv</x:v>
      </x:c>
      <x:c r="C343" s="20" t="n">
        <x:v>4</x:v>
      </x:c>
      <x:c r="D343" s="20" t="str">
        <x:v>ternary</x:v>
      </x:c>
      <x:c r="E343" s="36" t="n">
        <x:v>0.2857142984867096</x:v>
      </x:c>
      <x:c r="F343" s="36" t="n">
        <x:v>0.1428571492433548</x:v>
      </x:c>
      <x:c r="G343" s="36" t="n">
        <x:v>0.5714285969734192</x:v>
      </x:c>
      <x:c r="H343" s="36" t="n">
        <x:v>0.28452111780643463</x:v>
      </x:c>
      <x:c r="I343" s="36" t="n">
        <x:v>0.12438824027776718</x:v>
      </x:c>
      <x:c r="J343" s="36" t="n">
        <x:v>0.5910906518499056</x:v>
      </x:c>
      <x:c r="K343" s="23" t="n">
        <x:f>0.5*(ABS(H343-E343)+ABS(I343-F343)+ABS(J343-G343))*100</x:f>
        <x:v>1.9662072261174501</x:v>
      </x:c>
      <x:c r="L343" s="20" t="n">
        <x:v>24</x:v>
      </x:c>
    </x:row>
    <x:row r="344">
      <x:c r="A344" s="20" t="str">
        <x:v>cnn</x:v>
      </x:c>
      <x:c r="B344" s="20" t="str">
        <x:v>DQ12-TB12-TH3.csv</x:v>
      </x:c>
      <x:c r="C344" s="20" t="n">
        <x:v>5</x:v>
      </x:c>
      <x:c r="D344" s="20" t="str">
        <x:v>ternary</x:v>
      </x:c>
      <x:c r="E344" s="36" t="n">
        <x:v>0.4444444477558136</x:v>
      </x:c>
      <x:c r="F344" s="36" t="n">
        <x:v>0.4444444477558136</x:v>
      </x:c>
      <x:c r="G344" s="36" t="n">
        <x:v>0.1111111119389534</x:v>
      </x:c>
      <x:c r="H344" s="36" t="n">
        <x:v>0.42411862189571065</x:v>
      </x:c>
      <x:c r="I344" s="36" t="n">
        <x:v>0.4739443926761548</x:v>
      </x:c>
      <x:c r="J344" s="36" t="n">
        <x:v>0.10193697363138199</x:v>
      </x:c>
      <x:c r="K344" s="23" t="n">
        <x:f>0.5*(ABS(H344-E344)+ABS(I344-F344)+ABS(J344-G344))*100</x:f>
        <x:v>2.949995454400778</x:v>
      </x:c>
      <x:c r="L344" s="20" t="n">
        <x:v>24</x:v>
      </x:c>
    </x:row>
    <x:row r="345">
      <x:c r="A345" s="20" t="str">
        <x:v>cnn</x:v>
      </x:c>
      <x:c r="B345" s="20" t="str">
        <x:v>DQ12-TB3-TH6.csv</x:v>
      </x:c>
      <x:c r="C345" s="20" t="n">
        <x:v>5</x:v>
      </x:c>
      <x:c r="D345" s="20" t="str">
        <x:v>ternary</x:v>
      </x:c>
      <x:c r="E345" s="36" t="n">
        <x:v>0.5714285969734192</x:v>
      </x:c>
      <x:c r="F345" s="36" t="n">
        <x:v>0.1428571492433548</x:v>
      </x:c>
      <x:c r="G345" s="36" t="n">
        <x:v>0.2857142984867096</x:v>
      </x:c>
      <x:c r="H345" s="36" t="n">
        <x:v>0.5769343761106333</x:v>
      </x:c>
      <x:c r="I345" s="36" t="n">
        <x:v>0.24530425698806843</x:v>
      </x:c>
      <x:c r="J345" s="36" t="n">
        <x:v>0.1777613516896963</x:v>
      </x:c>
      <x:c r="K345" s="23" t="n">
        <x:f>0.5*(ABS(H345-E345)+ABS(I345-F345)+ABS(J345-G345))*100</x:f>
        <x:v>10.795291683947049</x:v>
      </x:c>
      <x:c r="L345" s="20" t="n">
        <x:v>24</x:v>
      </x:c>
    </x:row>
    <x:row r="346">
      <x:c r="A346" s="20" t="str">
        <x:v>cnn</x:v>
      </x:c>
      <x:c r="B346" s="20" t="str">
        <x:v>DQ12-TB6-TH12.csv</x:v>
      </x:c>
      <x:c r="C346" s="20" t="n">
        <x:v>5</x:v>
      </x:c>
      <x:c r="D346" s="20" t="str">
        <x:v>ternary</x:v>
      </x:c>
      <x:c r="E346" s="36" t="n">
        <x:v>0.4000000059604645</x:v>
      </x:c>
      <x:c r="F346" s="36" t="n">
        <x:v>0.20000000298023224</x:v>
      </x:c>
      <x:c r="G346" s="36" t="n">
        <x:v>0.4000000059604645</x:v>
      </x:c>
      <x:c r="H346" s="36" t="n">
        <x:v>0.5543646166721979</x:v>
      </x:c>
      <x:c r="I346" s="36" t="n">
        <x:v>0.2344193228830894</x:v>
      </x:c>
      <x:c r="J346" s="36" t="n">
        <x:v>0.21121605765074492</x:v>
      </x:c>
      <x:c r="K346" s="23" t="n">
        <x:f>0.5*(ABS(H346-E346)+ABS(I346-F346)+ABS(J346-G346))*100</x:f>
        <x:v>18.87839394621551</x:v>
      </x:c>
      <x:c r="L346" s="20" t="n">
        <x:v>24</x:v>
      </x:c>
    </x:row>
    <x:row r="347">
      <x:c r="A347" s="20" t="str">
        <x:v>cnn</x:v>
      </x:c>
      <x:c r="B347" s="20" t="str">
        <x:v>DQ150-TB0-TH50.csv</x:v>
      </x:c>
      <x:c r="C347" s="20" t="n">
        <x:v>5</x:v>
      </x:c>
      <x:c r="D347" s="20" t="str">
        <x:v>binary</x:v>
      </x:c>
      <x:c r="E347" s="36" t="n">
        <x:v>0.75</x:v>
      </x:c>
      <x:c r="F347" s="36" t="n">
        <x:v>0</x:v>
      </x:c>
      <x:c r="G347" s="36" t="n">
        <x:v>0.25</x:v>
      </x:c>
      <x:c r="H347" s="36" t="n">
        <x:v>0.4984303545206785</x:v>
      </x:c>
      <x:c r="I347" s="36" t="n">
        <x:v>0.16470108910774192</x:v>
      </x:c>
      <x:c r="J347" s="36" t="n">
        <x:v>0.33686856118341285</x:v>
      </x:c>
      <x:c r="K347" s="23" t="n">
        <x:f>0.5*(ABS(H347-E347)+ABS(I347-F347)+ABS(J347-G347))*100</x:f>
        <x:v>25.156964788523815</x:v>
      </x:c>
      <x:c r="L347" s="20" t="n">
        <x:v>24</x:v>
      </x:c>
    </x:row>
    <x:row r="348">
      <x:c r="A348" s="20" t="str">
        <x:v>cnn</x:v>
      </x:c>
      <x:c r="B348" s="20" t="str">
        <x:v>DQ24-TB12-TH24.csv</x:v>
      </x:c>
      <x:c r="C348" s="20" t="n">
        <x:v>5</x:v>
      </x:c>
      <x:c r="D348" s="20" t="str">
        <x:v>ternary</x:v>
      </x:c>
      <x:c r="E348" s="36" t="n">
        <x:v>0.4000000059604645</x:v>
      </x:c>
      <x:c r="F348" s="36" t="n">
        <x:v>0.20000000298023224</x:v>
      </x:c>
      <x:c r="G348" s="36" t="n">
        <x:v>0.4000000059604645</x:v>
      </x:c>
      <x:c r="H348" s="36" t="n">
        <x:v>0.40945002002020675</x:v>
      </x:c>
      <x:c r="I348" s="36" t="n">
        <x:v>0.21300009979556003</x:v>
      </x:c>
      <x:c r="J348" s="36" t="n">
        <x:v>0.3775498826677601</x:v>
      </x:c>
      <x:c r="K348" s="23" t="n">
        <x:f>0.5*(ABS(H348-E348)+ABS(I348-F348)+ABS(J348-G348))*100</x:f>
        <x:v>2.2450117083887235</x:v>
      </x:c>
      <x:c r="L348" s="20" t="n">
        <x:v>24</x:v>
      </x:c>
    </x:row>
    <x:row r="349">
      <x:c r="A349" s="20" t="str">
        <x:v>cnn</x:v>
      </x:c>
      <x:c r="B349" s="20" t="str">
        <x:v>DQ24-TB24-TH6.csv</x:v>
      </x:c>
      <x:c r="C349" s="20" t="n">
        <x:v>5</x:v>
      </x:c>
      <x:c r="D349" s="20" t="str">
        <x:v>ternary</x:v>
      </x:c>
      <x:c r="E349" s="36" t="n">
        <x:v>0.4444444477558136</x:v>
      </x:c>
      <x:c r="F349" s="36" t="n">
        <x:v>0.4444444477558136</x:v>
      </x:c>
      <x:c r="G349" s="36" t="n">
        <x:v>0.1111111119389534</x:v>
      </x:c>
      <x:c r="H349" s="36" t="n">
        <x:v>0.3799678757786751</x:v>
      </x:c>
      <x:c r="I349" s="36" t="n">
        <x:v>0.41869356607397396</x:v>
      </x:c>
      <x:c r="J349" s="36" t="n">
        <x:v>0.20133855923389396</x:v>
      </x:c>
      <x:c r="K349" s="23" t="n">
        <x:f>0.5*(ABS(H349-E349)+ABS(I349-F349)+ABS(J349-G349))*100</x:f>
        <x:v>9.022745047695937</x:v>
      </x:c>
      <x:c r="L349" s="20" t="n">
        <x:v>24</x:v>
      </x:c>
    </x:row>
    <x:row r="350">
      <x:c r="A350" s="20" t="str">
        <x:v>cnn</x:v>
      </x:c>
      <x:c r="B350" s="20" t="str">
        <x:v>DQ24-TB3-TH24.csv</x:v>
      </x:c>
      <x:c r="C350" s="20" t="n">
        <x:v>5</x:v>
      </x:c>
      <x:c r="D350" s="20" t="str">
        <x:v>ternary</x:v>
      </x:c>
      <x:c r="E350" s="36" t="n">
        <x:v>0.47058823704719543</x:v>
      </x:c>
      <x:c r="F350" s="36" t="n">
        <x:v>0.05882352963089943</x:v>
      </x:c>
      <x:c r="G350" s="36" t="n">
        <x:v>0.47058823704719543</x:v>
      </x:c>
      <x:c r="H350" s="36" t="n">
        <x:v>0.3760374480237563</x:v>
      </x:c>
      <x:c r="I350" s="36" t="n">
        <x:v>0.28414384710292023</x:v>
      </x:c>
      <x:c r="J350" s="36" t="n">
        <x:v>0.3398187054942052</x:v>
      </x:c>
      <x:c r="K350" s="23" t="n">
        <x:f>0.5*(ABS(H350-E350)+ABS(I350-F350)+ABS(J350-G350))*100</x:f>
        <x:v>22.53203190242251</x:v>
      </x:c>
      <x:c r="L350" s="20" t="n">
        <x:v>24</x:v>
      </x:c>
    </x:row>
    <x:row r="351">
      <x:c r="A351" s="20" t="str">
        <x:v>cnn</x:v>
      </x:c>
      <x:c r="B351" s="20" t="str">
        <x:v>DQ24-TB6-TH12.csv</x:v>
      </x:c>
      <x:c r="C351" s="20" t="n">
        <x:v>5</x:v>
      </x:c>
      <x:c r="D351" s="20" t="str">
        <x:v>ternary</x:v>
      </x:c>
      <x:c r="E351" s="36" t="n">
        <x:v>0.5714285969734192</x:v>
      </x:c>
      <x:c r="F351" s="36" t="n">
        <x:v>0.1428571492433548</x:v>
      </x:c>
      <x:c r="G351" s="36" t="n">
        <x:v>0.2857142984867096</x:v>
      </x:c>
      <x:c r="H351" s="36" t="n">
        <x:v>0.5434605603416761</x:v>
      </x:c>
      <x:c r="I351" s="36" t="n">
        <x:v>0.25441808936496574</x:v>
      </x:c>
      <x:c r="J351" s="36" t="n">
        <x:v>0.20212135557085276</x:v>
      </x:c>
      <x:c r="K351" s="23" t="n">
        <x:f>0.5*(ABS(H351-E351)+ABS(I351-F351)+ABS(J351-G351))*100</x:f>
        <x:v>11.156095983460542</x:v>
      </x:c>
      <x:c r="L351" s="20" t="n">
        <x:v>24</x:v>
      </x:c>
    </x:row>
    <x:row r="352">
      <x:c r="A352" s="20" t="str">
        <x:v>cnn</x:v>
      </x:c>
      <x:c r="B352" s="20" t="str">
        <x:v>DQ3-TB24-TH24.csv</x:v>
      </x:c>
      <x:c r="C352" s="20" t="n">
        <x:v>5</x:v>
      </x:c>
      <x:c r="D352" s="20" t="str">
        <x:v>ternary</x:v>
      </x:c>
      <x:c r="E352" s="36" t="n">
        <x:v>0.05882352963089943</x:v>
      </x:c>
      <x:c r="F352" s="36" t="n">
        <x:v>0.47058823704719543</x:v>
      </x:c>
      <x:c r="G352" s="36" t="n">
        <x:v>0.47058823704719543</x:v>
      </x:c>
      <x:c r="H352" s="36" t="n">
        <x:v>0.29320522770285606</x:v>
      </x:c>
      <x:c r="I352" s="36" t="n">
        <x:v>0.3966968599706888</x:v>
      </x:c>
      <x:c r="J352" s="36" t="n">
        <x:v>0.31009791263689596</x:v>
      </x:c>
      <x:c r="K352" s="23" t="n">
        <x:f>0.5*(ABS(H352-E352)+ABS(I352-F352)+ABS(J352-G352))*100</x:f>
        <x:v>23.438169977938138</x:v>
      </x:c>
      <x:c r="L352" s="20" t="n">
        <x:v>24</x:v>
      </x:c>
    </x:row>
    <x:row r="353">
      <x:c r="A353" s="20" t="str">
        <x:v>cnn</x:v>
      </x:c>
      <x:c r="B353" s="20" t="str">
        <x:v>DQ3-TB24-TH6.csv</x:v>
      </x:c>
      <x:c r="C353" s="20" t="n">
        <x:v>5</x:v>
      </x:c>
      <x:c r="D353" s="20" t="str">
        <x:v>ternary</x:v>
      </x:c>
      <x:c r="E353" s="36" t="n">
        <x:v>0.09090909361839294</x:v>
      </x:c>
      <x:c r="F353" s="36" t="n">
        <x:v>0.7272727489471436</x:v>
      </x:c>
      <x:c r="G353" s="36" t="n">
        <x:v>0.1818181872367859</x:v>
      </x:c>
      <x:c r="H353" s="36" t="n">
        <x:v>0.24651394660274187</x:v>
      </x:c>
      <x:c r="I353" s="36" t="n">
        <x:v>0.6390902884304523</x:v>
      </x:c>
      <x:c r="J353" s="36" t="n">
        <x:v>0.11439576589812835</x:v>
      </x:c>
      <x:c r="K353" s="23" t="n">
        <x:f>0.5*(ABS(H353-E353)+ABS(I353-F353)+ABS(J353-G353))*100</x:f>
        <x:v>15.560486741984883</x:v>
      </x:c>
      <x:c r="L353" s="20" t="n">
        <x:v>24</x:v>
      </x:c>
    </x:row>
    <x:row r="354">
      <x:c r="A354" s="20" t="str">
        <x:v>cnn</x:v>
      </x:c>
      <x:c r="B354" s="20" t="str">
        <x:v>DQ3-TB3-TH12.csv</x:v>
      </x:c>
      <x:c r="C354" s="20" t="n">
        <x:v>5</x:v>
      </x:c>
      <x:c r="D354" s="20" t="str">
        <x:v>ternary</x:v>
      </x:c>
      <x:c r="E354" s="36" t="n">
        <x:v>0.1666666716337204</x:v>
      </x:c>
      <x:c r="F354" s="36" t="n">
        <x:v>0.1666666716337204</x:v>
      </x:c>
      <x:c r="G354" s="36" t="n">
        <x:v>0.6666666865348816</x:v>
      </x:c>
      <x:c r="H354" s="36" t="n">
        <x:v>0.26687219521651667</x:v>
      </x:c>
      <x:c r="I354" s="36" t="n">
        <x:v>0.4152786089107394</x:v>
      </x:c>
      <x:c r="J354" s="36" t="n">
        <x:v>0.3178492042546471</x:v>
      </x:c>
      <x:c r="K354" s="23" t="n">
        <x:f>0.5*(ABS(H354-E354)+ABS(I354-F354)+ABS(J354-G354))*100</x:f>
        <x:v>34.88174715700249</x:v>
      </x:c>
      <x:c r="L354" s="20" t="n">
        <x:v>24</x:v>
      </x:c>
    </x:row>
    <x:row r="355">
      <x:c r="A355" s="20" t="str">
        <x:v>cnn</x:v>
      </x:c>
      <x:c r="B355" s="20" t="str">
        <x:v>DQ333-TB33-TH333.csv</x:v>
      </x:c>
      <x:c r="C355" s="20" t="n">
        <x:v>5</x:v>
      </x:c>
      <x:c r="D355" s="20" t="str">
        <x:v>ternary</x:v>
      </x:c>
      <x:c r="E355" s="36" t="n">
        <x:v>0.4763948619365692</x:v>
      </x:c>
      <x:c r="F355" s="36" t="n">
        <x:v>0.04721030220389366</x:v>
      </x:c>
      <x:c r="G355" s="36" t="n">
        <x:v>0.4763948619365692</x:v>
      </x:c>
      <x:c r="H355" s="36" t="n">
        <x:v>0.16633982692534724</x:v>
      </x:c>
      <x:c r="I355" s="36" t="n">
        <x:v>0.03660266326429943</x:v>
      </x:c>
      <x:c r="J355" s="36" t="n">
        <x:v>0.7970575007299582</x:v>
      </x:c>
      <x:c r="K355" s="23" t="n">
        <x:f>0.5*(ABS(H355-E355)+ABS(I355-F355)+ABS(J355-G355))*100</x:f>
        <x:v>32.06626563721026</x:v>
      </x:c>
      <x:c r="L355" s="20" t="n">
        <x:v>24</x:v>
      </x:c>
    </x:row>
    <x:row r="356">
      <x:c r="A356" s="20" t="str">
        <x:v>cnn</x:v>
      </x:c>
      <x:c r="B356" s="20" t="str">
        <x:v>DQ50-TB0-TH500.csv</x:v>
      </x:c>
      <x:c r="C356" s="20" t="n">
        <x:v>5</x:v>
      </x:c>
      <x:c r="D356" s="20" t="str">
        <x:v>binary</x:v>
      </x:c>
      <x:c r="E356" s="36" t="n">
        <x:v>0.09090909361839294</x:v>
      </x:c>
      <x:c r="F356" s="36" t="n">
        <x:v>0</x:v>
      </x:c>
      <x:c r="G356" s="36" t="n">
        <x:v>0.9090909361839294</x:v>
      </x:c>
      <x:c r="H356" s="36" t="n">
        <x:v>0.10258297886078556</x:v>
      </x:c>
      <x:c r="I356" s="36" t="n">
        <x:v>0.03719244303647429</x:v>
      </x:c>
      <x:c r="J356" s="36" t="n">
        <x:v>0.8602245772878329</x:v>
      </x:c>
      <x:c r="K356" s="23" t="n">
        <x:f>0.5*(ABS(H356-E356)+ABS(I356-F356)+ABS(J356-G356))*100</x:f>
        <x:v>4.886634358748174</x:v>
      </x:c>
      <x:c r="L356" s="20" t="n">
        <x:v>24</x:v>
      </x:c>
    </x:row>
    <x:row r="357">
      <x:c r="A357" s="20" t="str">
        <x:v>cnn</x:v>
      </x:c>
      <x:c r="B357" s="20" t="str">
        <x:v>DQ50-TB500-TH0.csv</x:v>
      </x:c>
      <x:c r="C357" s="20" t="n">
        <x:v>5</x:v>
      </x:c>
      <x:c r="D357" s="20" t="str">
        <x:v>binary</x:v>
      </x:c>
      <x:c r="E357" s="36" t="n">
        <x:v>0.09090909361839294</x:v>
      </x:c>
      <x:c r="F357" s="36" t="n">
        <x:v>0.9090909361839294</x:v>
      </x:c>
      <x:c r="G357" s="36" t="n">
        <x:v>0</x:v>
      </x:c>
      <x:c r="H357" s="36" t="n">
        <x:v>0.21154572752614817</x:v>
      </x:c>
      <x:c r="I357" s="36" t="n">
        <x:v>0.703617237508297</x:v>
      </x:c>
      <x:c r="J357" s="36" t="n">
        <x:v>0.08483703806996346</x:v>
      </x:c>
      <x:c r="K357" s="23" t="n">
        <x:f>0.5*(ABS(H357-E357)+ABS(I357-F357)+ABS(J357-G357))*100</x:f>
        <x:v>20.54736853266756</x:v>
      </x:c>
      <x:c r="L357" s="20" t="n">
        <x:v>24</x:v>
      </x:c>
    </x:row>
    <x:row r="358">
      <x:c r="A358" s="20" t="str">
        <x:v>cnn</x:v>
      </x:c>
      <x:c r="B358" s="20" t="str">
        <x:v>DQ6-TB24-TH3.csv</x:v>
      </x:c>
      <x:c r="C358" s="20" t="n">
        <x:v>5</x:v>
      </x:c>
      <x:c r="D358" s="20" t="str">
        <x:v>ternary</x:v>
      </x:c>
      <x:c r="E358" s="36" t="n">
        <x:v>0.1818181872367859</x:v>
      </x:c>
      <x:c r="F358" s="36" t="n">
        <x:v>0.7272727489471436</x:v>
      </x:c>
      <x:c r="G358" s="36" t="n">
        <x:v>0.09090909361839294</x:v>
      </x:c>
      <x:c r="H358" s="36" t="n">
        <x:v>0.3852365439136823</x:v>
      </x:c>
      <x:c r="I358" s="36" t="n">
        <x:v>0.47850872203707695</x:v>
      </x:c>
      <x:c r="J358" s="36" t="n">
        <x:v>0.13625473234181604</x:v>
      </x:c>
      <x:c r="K358" s="23" t="n">
        <x:f>0.5*(ABS(H358-E358)+ABS(I358-F358)+ABS(J358-G358))*100</x:f>
        <x:v>24.876401115519304</x:v>
      </x:c>
      <x:c r="L358" s="20" t="n">
        <x:v>24</x:v>
      </x:c>
    </x:row>
    <x:row r="359">
      <x:c r="A359" s="20" t="str">
        <x:v>cnn</x:v>
      </x:c>
      <x:c r="B359" s="20" t="str">
        <x:v>DQ6-TB3-TH6.csv</x:v>
      </x:c>
      <x:c r="C359" s="20" t="n">
        <x:v>5</x:v>
      </x:c>
      <x:c r="D359" s="20" t="str">
        <x:v>ternary</x:v>
      </x:c>
      <x:c r="E359" s="36" t="n">
        <x:v>0.4000000059604645</x:v>
      </x:c>
      <x:c r="F359" s="36" t="n">
        <x:v>0.20000000298023224</x:v>
      </x:c>
      <x:c r="G359" s="36" t="n">
        <x:v>0.4000000059604645</x:v>
      </x:c>
      <x:c r="H359" s="36" t="n">
        <x:v>0.3917825147509575</x:v>
      </x:c>
      <x:c r="I359" s="36" t="n">
        <x:v>0.35095018707215786</x:v>
      </x:c>
      <x:c r="J359" s="36" t="n">
        <x:v>0.2572672899502019</x:v>
      </x:c>
      <x:c r="K359" s="23" t="n">
        <x:f>0.5*(ABS(H359-E359)+ABS(I359-F359)+ABS(J359-G359))*100</x:f>
        <x:v>15.095019565584758</x:v>
      </x:c>
      <x:c r="L359" s="20" t="n">
        <x:v>24</x:v>
      </x:c>
    </x:row>
    <x:row r="360">
      <x:c r="A360" s="20" t="str">
        <x:v>cnn</x:v>
      </x:c>
      <x:c r="B360" s="20" t="str">
        <x:v>DQ6-TB6-TH24.csv</x:v>
      </x:c>
      <x:c r="C360" s="20" t="n">
        <x:v>5</x:v>
      </x:c>
      <x:c r="D360" s="20" t="str">
        <x:v>ternary</x:v>
      </x:c>
      <x:c r="E360" s="36" t="n">
        <x:v>0.1666666716337204</x:v>
      </x:c>
      <x:c r="F360" s="36" t="n">
        <x:v>0.1666666716337204</x:v>
      </x:c>
      <x:c r="G360" s="36" t="n">
        <x:v>0.6666666865348816</x:v>
      </x:c>
      <x:c r="H360" s="36" t="n">
        <x:v>0.2188192686686913</x:v>
      </x:c>
      <x:c r="I360" s="36" t="n">
        <x:v>0.19598312474166354</x:v>
      </x:c>
      <x:c r="J360" s="36" t="n">
        <x:v>0.5851976095388333</x:v>
      </x:c>
      <x:c r="K360" s="23" t="n">
        <x:f>0.5*(ABS(H360-E360)+ABS(I360-F360)+ABS(J360-G360))*100</x:f>
        <x:v>8.146906356948119</x:v>
      </x:c>
      <x:c r="L360" s="20" t="n">
        <x:v>24</x:v>
      </x:c>
    </x:row>
    <x:row r="361">
      <x:c r="A361" s="20" t="str">
        <x:v>mlp</x:v>
      </x:c>
      <x:c r="B361" s="20" t="str">
        <x:v>DQ0-TB50-TH250.csv</x:v>
      </x:c>
      <x:c r="C361" s="20" t="n">
        <x:v>1</x:v>
      </x:c>
      <x:c r="D361" s="20" t="str">
        <x:v>binary</x:v>
      </x:c>
      <x:c r="E361" s="36" t="n">
        <x:v>0</x:v>
      </x:c>
      <x:c r="F361" s="36" t="n">
        <x:v>0.1666666716337204</x:v>
      </x:c>
      <x:c r="G361" s="36" t="n">
        <x:v>0.8333333134651184</x:v>
      </x:c>
      <x:c r="H361" s="36" t="n">
        <x:v>0.12738836168621978</x:v>
      </x:c>
      <x:c r="I361" s="36" t="n">
        <x:v>0.28932613134384155</x:v>
      </x:c>
      <x:c r="J361" s="36" t="n">
        <x:v>0.5832854981223742</x:v>
      </x:c>
      <x:c r="K361" s="23" t="n">
        <x:f>0.5*(ABS(H361-E361)+ABS(I361-F361)+ABS(J361-G361))*100</x:f>
        <x:v>25.00478183695426</x:v>
      </x:c>
      <x:c r="L361" s="20" t="n">
        <x:v>24</x:v>
      </x:c>
    </x:row>
    <x:row r="362">
      <x:c r="A362" s="20" t="str">
        <x:v>mlp</x:v>
      </x:c>
      <x:c r="B362" s="20" t="str">
        <x:v>DQ0-TB50-TH500.csv</x:v>
      </x:c>
      <x:c r="C362" s="20" t="n">
        <x:v>1</x:v>
      </x:c>
      <x:c r="D362" s="20" t="str">
        <x:v>binary</x:v>
      </x:c>
      <x:c r="E362" s="36" t="n">
        <x:v>0</x:v>
      </x:c>
      <x:c r="F362" s="36" t="n">
        <x:v>0.09090909361839294</x:v>
      </x:c>
      <x:c r="G362" s="36" t="n">
        <x:v>0.9090909361839294</x:v>
      </x:c>
      <x:c r="H362" s="36" t="n">
        <x:v>0.09350077955362697</x:v>
      </x:c>
      <x:c r="I362" s="36" t="n">
        <x:v>0.09037922838858019</x:v>
      </x:c>
      <x:c r="J362" s="36" t="n">
        <x:v>0.8161199887593588</x:v>
      </x:c>
      <x:c r="K362" s="23" t="n">
        <x:f>0.5*(ABS(H362-E362)+ABS(I362-F362)+ABS(J362-G362))*100</x:f>
        <x:v>9.35007961040052</x:v>
      </x:c>
      <x:c r="L362" s="20" t="n">
        <x:v>24</x:v>
      </x:c>
    </x:row>
    <x:row r="363">
      <x:c r="A363" s="20" t="str">
        <x:v>mlp</x:v>
      </x:c>
      <x:c r="B363" s="20" t="str">
        <x:v>DQ0-TB500-TH500.csv</x:v>
      </x:c>
      <x:c r="C363" s="20" t="n">
        <x:v>1</x:v>
      </x:c>
      <x:c r="D363" s="20" t="str">
        <x:v>binary</x:v>
      </x:c>
      <x:c r="E363" s="36" t="n">
        <x:v>0</x:v>
      </x:c>
      <x:c r="F363" s="36" t="n">
        <x:v>0.5</x:v>
      </x:c>
      <x:c r="G363" s="36" t="n">
        <x:v>0.5</x:v>
      </x:c>
      <x:c r="H363" s="36" t="n">
        <x:v>0.14814361867805323</x:v>
      </x:c>
      <x:c r="I363" s="36" t="n">
        <x:v>0.28100534978633124</x:v>
      </x:c>
      <x:c r="J363" s="36" t="n">
        <x:v>0.5708510366578897</x:v>
      </x:c>
      <x:c r="K363" s="23" t="n">
        <x:f>0.5*(ABS(H363-E363)+ABS(I363-F363)+ABS(J363-G363))*100</x:f>
        <x:v>21.899465277480584</x:v>
      </x:c>
      <x:c r="L363" s="20" t="n">
        <x:v>24</x:v>
      </x:c>
    </x:row>
    <x:row r="364">
      <x:c r="A364" s="20" t="str">
        <x:v>mlp</x:v>
      </x:c>
      <x:c r="B364" s="20" t="str">
        <x:v>DQ12-TB12-TH12.csv</x:v>
      </x:c>
      <x:c r="C364" s="20" t="n">
        <x:v>1</x:v>
      </x:c>
      <x:c r="D364" s="20" t="str">
        <x:v>ternary</x:v>
      </x:c>
      <x:c r="E364" s="36" t="n">
        <x:v>0.3333333432674408</x:v>
      </x:c>
      <x:c r="F364" s="36" t="n">
        <x:v>0.3333333432674408</x:v>
      </x:c>
      <x:c r="G364" s="36" t="n">
        <x:v>0.3333333432674408</x:v>
      </x:c>
      <x:c r="H364" s="36" t="n">
        <x:v>0.271258182823658</x:v>
      </x:c>
      <x:c r="I364" s="36" t="n">
        <x:v>0.34758511806527775</x:v>
      </x:c>
      <x:c r="J364" s="36" t="n">
        <x:v>0.38115669911106426</x:v>
      </x:c>
      <x:c r="K364" s="23" t="n">
        <x:f>0.5*(ABS(H364-E364)+ABS(I364-F364)+ABS(J364-G364))*100</x:f>
        <x:v>6.207514554262161</x:v>
      </x:c>
      <x:c r="L364" s="20" t="n">
        <x:v>24</x:v>
      </x:c>
    </x:row>
    <x:row r="365">
      <x:c r="A365" s="20" t="str">
        <x:v>mlp</x:v>
      </x:c>
      <x:c r="B365" s="20" t="str">
        <x:v>DQ12-TB3-TH24.csv</x:v>
      </x:c>
      <x:c r="C365" s="20" t="n">
        <x:v>1</x:v>
      </x:c>
      <x:c r="D365" s="20" t="str">
        <x:v>ternary</x:v>
      </x:c>
      <x:c r="E365" s="36" t="n">
        <x:v>0.3076923191547394</x:v>
      </x:c>
      <x:c r="F365" s="36" t="n">
        <x:v>0.07692307978868484</x:v>
      </x:c>
      <x:c r="G365" s="36" t="n">
        <x:v>0.6153846383094788</x:v>
      </x:c>
      <x:c r="H365" s="36" t="n">
        <x:v>0.3038202275832494</x:v>
      </x:c>
      <x:c r="I365" s="36" t="n">
        <x:v>0.2862874871740739</x:v>
      </x:c>
      <x:c r="J365" s="36" t="n">
        <x:v>0.4098922796547413</x:v>
      </x:c>
      <x:c r="K365" s="23" t="n">
        <x:f>0.5*(ABS(H365-E365)+ABS(I365-F365)+ABS(J365-G365))*100</x:f>
        <x:v>20.936442880580824</x:v>
      </x:c>
      <x:c r="L365" s="20" t="n">
        <x:v>24</x:v>
      </x:c>
    </x:row>
    <x:row r="366">
      <x:c r="A366" s="20" t="str">
        <x:v>mlp</x:v>
      </x:c>
      <x:c r="B366" s="20" t="str">
        <x:v>DQ150-TB50-TH0.csv</x:v>
      </x:c>
      <x:c r="C366" s="20" t="n">
        <x:v>1</x:v>
      </x:c>
      <x:c r="D366" s="20" t="str">
        <x:v>binary</x:v>
      </x:c>
      <x:c r="E366" s="36" t="n">
        <x:v>0.75</x:v>
      </x:c>
      <x:c r="F366" s="36" t="n">
        <x:v>0.25</x:v>
      </x:c>
      <x:c r="G366" s="36" t="n">
        <x:v>0</x:v>
      </x:c>
      <x:c r="H366" s="36" t="n">
        <x:v>0.5043963727851709</x:v>
      </x:c>
      <x:c r="I366" s="36" t="n">
        <x:v>0.48210874075690907</x:v>
      </x:c>
      <x:c r="J366" s="36" t="n">
        <x:v>0.013494889969782283</x:v>
      </x:c>
      <x:c r="K366" s="23" t="n">
        <x:f>0.5*(ABS(H366-E366)+ABS(I366-F366)+ABS(J366-G366))*100</x:f>
        <x:v>24.560362897076022</x:v>
      </x:c>
      <x:c r="L366" s="20" t="n">
        <x:v>24</x:v>
      </x:c>
    </x:row>
    <x:row r="367">
      <x:c r="A367" s="20" t="str">
        <x:v>mlp</x:v>
      </x:c>
      <x:c r="B367" s="20" t="str">
        <x:v>DQ24-TB24-TH24.csv</x:v>
      </x:c>
      <x:c r="C367" s="20" t="n">
        <x:v>1</x:v>
      </x:c>
      <x:c r="D367" s="20" t="str">
        <x:v>ternary</x:v>
      </x:c>
      <x:c r="E367" s="36" t="n">
        <x:v>0.3333333432674408</x:v>
      </x:c>
      <x:c r="F367" s="36" t="n">
        <x:v>0.3333333432674408</x:v>
      </x:c>
      <x:c r="G367" s="36" t="n">
        <x:v>0.3333333432674408</x:v>
      </x:c>
      <x:c r="H367" s="36" t="n">
        <x:v>0.12563908084606132</x:v>
      </x:c>
      <x:c r="I367" s="36" t="n">
        <x:v>0.4724835914870103</x:v>
      </x:c>
      <x:c r="J367" s="36" t="n">
        <x:v>0.4018773250281811</x:v>
      </x:c>
      <x:c r="K367" s="23" t="n">
        <x:f>0.5*(ABS(H367-E367)+ABS(I367-F367)+ABS(J367-G367))*100</x:f>
        <x:v>20.769424620084465</x:v>
      </x:c>
      <x:c r="L367" s="20" t="n">
        <x:v>24</x:v>
      </x:c>
    </x:row>
    <x:row r="368">
      <x:c r="A368" s="20" t="str">
        <x:v>mlp</x:v>
      </x:c>
      <x:c r="B368" s="20" t="str">
        <x:v>DQ250-TB0-TH50.csv</x:v>
      </x:c>
      <x:c r="C368" s="20" t="n">
        <x:v>1</x:v>
      </x:c>
      <x:c r="D368" s="20" t="str">
        <x:v>binary</x:v>
      </x:c>
      <x:c r="E368" s="36" t="n">
        <x:v>0.8333333134651184</x:v>
      </x:c>
      <x:c r="F368" s="36" t="n">
        <x:v>0</x:v>
      </x:c>
      <x:c r="G368" s="36" t="n">
        <x:v>0.1666666716337204</x:v>
      </x:c>
      <x:c r="H368" s="36" t="n">
        <x:v>0.344008128469189</x:v>
      </x:c>
      <x:c r="I368" s="36" t="n">
        <x:v>0.2005461958857874</x:v>
      </x:c>
      <x:c r="J368" s="36" t="n">
        <x:v>0.4554456764211257</x:v>
      </x:c>
      <x:c r="K368" s="23" t="n">
        <x:f>0.5*(ABS(H368-E368)+ABS(I368-F368)+ABS(J368-G368))*100</x:f>
        <x:v>48.93251928345611</x:v>
      </x:c>
      <x:c r="L368" s="20" t="n">
        <x:v>24</x:v>
      </x:c>
    </x:row>
    <x:row r="369">
      <x:c r="A369" s="20" t="str">
        <x:v>mlp</x:v>
      </x:c>
      <x:c r="B369" s="20" t="str">
        <x:v>DQ3-TB12-TH12.csv</x:v>
      </x:c>
      <x:c r="C369" s="20" t="n">
        <x:v>1</x:v>
      </x:c>
      <x:c r="D369" s="20" t="str">
        <x:v>ternary</x:v>
      </x:c>
      <x:c r="E369" s="36" t="n">
        <x:v>0.1111111119389534</x:v>
      </x:c>
      <x:c r="F369" s="36" t="n">
        <x:v>0.4444444477558136</x:v>
      </x:c>
      <x:c r="G369" s="36" t="n">
        <x:v>0.4444444477558136</x:v>
      </x:c>
      <x:c r="H369" s="36" t="n">
        <x:v>0.16877722615996996</x:v>
      </x:c>
      <x:c r="I369" s="36" t="n">
        <x:v>0.3649987628062566</x:v>
      </x:c>
      <x:c r="J369" s="36" t="n">
        <x:v>0.4662240135173003</x:v>
      </x:c>
      <x:c r="K369" s="23" t="n">
        <x:f>0.5*(ABS(H369-E369)+ABS(I369-F369)+ABS(J369-G369))*100</x:f>
        <x:v>7.944568246603014</x:v>
      </x:c>
      <x:c r="L369" s="20" t="n">
        <x:v>24</x:v>
      </x:c>
    </x:row>
    <x:row r="370">
      <x:c r="A370" s="20" t="str">
        <x:v>mlp</x:v>
      </x:c>
      <x:c r="B370" s="20" t="str">
        <x:v>DQ3-TB12-TH3.csv</x:v>
      </x:c>
      <x:c r="C370" s="20" t="n">
        <x:v>1</x:v>
      </x:c>
      <x:c r="D370" s="20" t="str">
        <x:v>ternary</x:v>
      </x:c>
      <x:c r="E370" s="36" t="n">
        <x:v>0.1666666716337204</x:v>
      </x:c>
      <x:c r="F370" s="36" t="n">
        <x:v>0.6666666865348816</x:v>
      </x:c>
      <x:c r="G370" s="36" t="n">
        <x:v>0.1666666716337204</x:v>
      </x:c>
      <x:c r="H370" s="36" t="n">
        <x:v>0.12038577006508906</x:v>
      </x:c>
      <x:c r="I370" s="36" t="n">
        <x:v>0.47360557441910106</x:v>
      </x:c>
      <x:c r="J370" s="36" t="n">
        <x:v>0.40600864340861637</x:v>
      </x:c>
      <x:c r="K370" s="23" t="n">
        <x:f>0.5*(ABS(H370-E370)+ABS(I370-F370)+ABS(J370-G370))*100</x:f>
        <x:v>23.934199272965394</x:v>
      </x:c>
      <x:c r="L370" s="20" t="n">
        <x:v>24</x:v>
      </x:c>
    </x:row>
    <x:row r="371">
      <x:c r="A371" s="20" t="str">
        <x:v>mlp</x:v>
      </x:c>
      <x:c r="B371" s="20" t="str">
        <x:v>DQ3-TB3-TH3.csv</x:v>
      </x:c>
      <x:c r="C371" s="20" t="n">
        <x:v>1</x:v>
      </x:c>
      <x:c r="D371" s="20" t="str">
        <x:v>ternary</x:v>
      </x:c>
      <x:c r="E371" s="36" t="n">
        <x:v>0.3333333432674408</x:v>
      </x:c>
      <x:c r="F371" s="36" t="n">
        <x:v>0.3333333432674408</x:v>
      </x:c>
      <x:c r="G371" s="36" t="n">
        <x:v>0.3333333432674408</x:v>
      </x:c>
      <x:c r="H371" s="36" t="n">
        <x:v>0.266588078190883</x:v>
      </x:c>
      <x:c r="I371" s="36" t="n">
        <x:v>0.37549825323124725</x:v>
      </x:c>
      <x:c r="J371" s="36" t="n">
        <x:v>0.35791366547346115</x:v>
      </x:c>
      <x:c r="K371" s="23" t="n">
        <x:f>0.5*(ABS(H371-E371)+ABS(I371-F371)+ABS(J371-G371))*100</x:f>
        <x:v>6.674524862319231</x:v>
      </x:c>
      <x:c r="L371" s="20" t="n">
        <x:v>24</x:v>
      </x:c>
    </x:row>
    <x:row r="372">
      <x:c r="A372" s="20" t="str">
        <x:v>mlp</x:v>
      </x:c>
      <x:c r="B372" s="20" t="str">
        <x:v>DQ333-TB333-TH333.csv</x:v>
      </x:c>
      <x:c r="C372" s="20" t="n">
        <x:v>1</x:v>
      </x:c>
      <x:c r="D372" s="20" t="str">
        <x:v>ternary</x:v>
      </x:c>
      <x:c r="E372" s="36" t="n">
        <x:v>0.3333333432674408</x:v>
      </x:c>
      <x:c r="F372" s="36" t="n">
        <x:v>0.3333333432674408</x:v>
      </x:c>
      <x:c r="G372" s="36" t="n">
        <x:v>0.3333333432674408</x:v>
      </x:c>
      <x:c r="H372" s="36" t="n">
        <x:v>0.3836439372971654</x:v>
      </x:c>
      <x:c r="I372" s="36" t="n">
        <x:v>0.09907897740292053</x:v>
      </x:c>
      <x:c r="J372" s="36" t="n">
        <x:v>0.5172770886371533</x:v>
      </x:c>
      <x:c r="K372" s="23" t="n">
        <x:f>0.5*(ABS(H372-E372)+ABS(I372-F372)+ABS(J372-G372))*100</x:f>
        <x:v>23.425435263197866</x:v>
      </x:c>
      <x:c r="L372" s="20" t="n">
        <x:v>24</x:v>
      </x:c>
    </x:row>
    <x:row r="373">
      <x:c r="A373" s="20" t="str">
        <x:v>mlp</x:v>
      </x:c>
      <x:c r="B373" s="20" t="str">
        <x:v>DQ50-TB0-TH250.csv</x:v>
      </x:c>
      <x:c r="C373" s="20" t="n">
        <x:v>1</x:v>
      </x:c>
      <x:c r="D373" s="20" t="str">
        <x:v>binary</x:v>
      </x:c>
      <x:c r="E373" s="36" t="n">
        <x:v>0.1666666716337204</x:v>
      </x:c>
      <x:c r="F373" s="36" t="n">
        <x:v>0</x:v>
      </x:c>
      <x:c r="G373" s="36" t="n">
        <x:v>0.8333333134651184</x:v>
      </x:c>
      <x:c r="H373" s="36" t="n">
        <x:v>0.11190322786569595</x:v>
      </x:c>
      <x:c r="I373" s="36" t="n">
        <x:v>0.36333322431892157</x:v>
      </x:c>
      <x:c r="J373" s="36" t="n">
        <x:v>0.5247635444005331</x:v>
      </x:c>
      <x:c r="K373" s="23" t="n">
        <x:f>0.5*(ABS(H373-E373)+ABS(I373-F373)+ABS(J373-G373))*100</x:f>
        <x:v>36.333321857576564</x:v>
      </x:c>
      <x:c r="L373" s="20" t="n">
        <x:v>24</x:v>
      </x:c>
    </x:row>
    <x:row r="374">
      <x:c r="A374" s="20" t="str">
        <x:v>mlp</x:v>
      </x:c>
      <x:c r="B374" s="20" t="str">
        <x:v>DQ500-TB50-TH0.csv</x:v>
      </x:c>
      <x:c r="C374" s="20" t="n">
        <x:v>1</x:v>
      </x:c>
      <x:c r="D374" s="20" t="str">
        <x:v>binary</x:v>
      </x:c>
      <x:c r="E374" s="36" t="n">
        <x:v>0.9090909361839294</x:v>
      </x:c>
      <x:c r="F374" s="36" t="n">
        <x:v>0.09090909361839294</x:v>
      </x:c>
      <x:c r="G374" s="36" t="n">
        <x:v>0</x:v>
      </x:c>
      <x:c r="H374" s="36" t="n">
        <x:v>0.416729886084795</x:v>
      </x:c>
      <x:c r="I374" s="36" t="n">
        <x:v>0.5462712123990059</x:v>
      </x:c>
      <x:c r="J374" s="36" t="n">
        <x:v>0.03699890481463323</x:v>
      </x:c>
      <x:c r="K374" s="23" t="n">
        <x:f>0.5*(ABS(H374-E374)+ABS(I374-F374)+ABS(J374-G374))*100</x:f>
        <x:v>49.236103684719026</x:v>
      </x:c>
      <x:c r="L374" s="20" t="n">
        <x:v>24</x:v>
      </x:c>
    </x:row>
    <x:row r="375">
      <x:c r="A375" s="20" t="str">
        <x:v>mlp</x:v>
      </x:c>
      <x:c r="B375" s="20" t="str">
        <x:v>DQ6-TB24-TH24.csv</x:v>
      </x:c>
      <x:c r="C375" s="20" t="n">
        <x:v>1</x:v>
      </x:c>
      <x:c r="D375" s="20" t="str">
        <x:v>ternary</x:v>
      </x:c>
      <x:c r="E375" s="36" t="n">
        <x:v>0.1111111119389534</x:v>
      </x:c>
      <x:c r="F375" s="36" t="n">
        <x:v>0.4444444477558136</x:v>
      </x:c>
      <x:c r="G375" s="36" t="n">
        <x:v>0.4444444477558136</x:v>
      </x:c>
      <x:c r="H375" s="36" t="n">
        <x:v>0.10143525867412488</x:v>
      </x:c>
      <x:c r="I375" s="36" t="n">
        <x:v>0.48615675419569016</x:v>
      </x:c>
      <x:c r="J375" s="36" t="n">
        <x:v>0.4124079917867978</x:v>
      </x:c>
      <x:c r="K375" s="23" t="n">
        <x:f>0.5*(ABS(H375-E375)+ABS(I375-F375)+ABS(J375-G375))*100</x:f>
        <x:v>4.171230783686043</x:v>
      </x:c>
      <x:c r="L375" s="20" t="n">
        <x:v>24</x:v>
      </x:c>
    </x:row>
    <x:row r="376">
      <x:c r="A376" s="20" t="str">
        <x:v>mlp</x:v>
      </x:c>
      <x:c r="B376" s="20" t="str">
        <x:v>DQ6-TB24-TH6.csv</x:v>
      </x:c>
      <x:c r="C376" s="20" t="n">
        <x:v>1</x:v>
      </x:c>
      <x:c r="D376" s="20" t="str">
        <x:v>ternary</x:v>
      </x:c>
      <x:c r="E376" s="36" t="n">
        <x:v>0.1666666716337204</x:v>
      </x:c>
      <x:c r="F376" s="36" t="n">
        <x:v>0.6666666865348816</x:v>
      </x:c>
      <x:c r="G376" s="36" t="n">
        <x:v>0.1666666716337204</x:v>
      </x:c>
      <x:c r="H376" s="36" t="n">
        <x:v>0.20762031618505716</x:v>
      </x:c>
      <x:c r="I376" s="36" t="n">
        <x:v>0.46172966435551643</x:v>
      </x:c>
      <x:c r="J376" s="36" t="n">
        <x:v>0.3306500061104695</x:v>
      </x:c>
      <x:c r="K376" s="23" t="n">
        <x:f>0.5*(ABS(H376-E376)+ABS(I376-F376)+ABS(J376-G376))*100</x:f>
        <x:v>20.493700060372554</x:v>
      </x:c>
      <x:c r="L376" s="20" t="n">
        <x:v>24</x:v>
      </x:c>
    </x:row>
    <x:row r="377">
      <x:c r="A377" s="20" t="str">
        <x:v>mlp</x:v>
      </x:c>
      <x:c r="B377" s="20" t="str">
        <x:v>DQ6-TB3-TH24.csv</x:v>
      </x:c>
      <x:c r="C377" s="20" t="n">
        <x:v>1</x:v>
      </x:c>
      <x:c r="D377" s="20" t="str">
        <x:v>ternary</x:v>
      </x:c>
      <x:c r="E377" s="36" t="n">
        <x:v>0.1818181872367859</x:v>
      </x:c>
      <x:c r="F377" s="36" t="n">
        <x:v>0.09090909361839294</x:v>
      </x:c>
      <x:c r="G377" s="36" t="n">
        <x:v>0.7272727489471436</x:v>
      </x:c>
      <x:c r="H377" s="36" t="n">
        <x:v>0.24809913275142512</x:v>
      </x:c>
      <x:c r="I377" s="36" t="n">
        <x:v>0.26501279945174855</x:v>
      </x:c>
      <x:c r="J377" s="36" t="n">
        <x:v>0.4868880646924178</x:v>
      </x:c>
      <x:c r="K377" s="23" t="n">
        <x:f>0.5*(ABS(H377-E377)+ABS(I377-F377)+ABS(J377-G377))*100</x:f>
        <x:v>24.03846678013603</x:v>
      </x:c>
      <x:c r="L377" s="20" t="n">
        <x:v>24</x:v>
      </x:c>
    </x:row>
    <x:row r="378">
      <x:c r="A378" s="20" t="str">
        <x:v>mlp</x:v>
      </x:c>
      <x:c r="B378" s="20" t="str">
        <x:v>DQ6-TB6-TH6.csv</x:v>
      </x:c>
      <x:c r="C378" s="20" t="n">
        <x:v>1</x:v>
      </x:c>
      <x:c r="D378" s="20" t="str">
        <x:v>ternary</x:v>
      </x:c>
      <x:c r="E378" s="36" t="n">
        <x:v>0.3333333432674408</x:v>
      </x:c>
      <x:c r="F378" s="36" t="n">
        <x:v>0.3333333432674408</x:v>
      </x:c>
      <x:c r="G378" s="36" t="n">
        <x:v>0.3333333432674408</x:v>
      </x:c>
      <x:c r="H378" s="36" t="n">
        <x:v>0.3805290410916011</x:v>
      </x:c>
      <x:c r="I378" s="36" t="n">
        <x:v>0.34555634173254174</x:v>
      </x:c>
      <x:c r="J378" s="36" t="n">
        <x:v>0.2739146091043949</x:v>
      </x:c>
      <x:c r="K378" s="23" t="n">
        <x:f>0.5*(ABS(H378-E378)+ABS(I378-F378)+ABS(J378-G378))*100</x:f>
        <x:v>5.941871522615355</x:v>
      </x:c>
      <x:c r="L378" s="20" t="n">
        <x:v>24</x:v>
      </x:c>
    </x:row>
    <x:row r="379">
      <x:c r="A379" s="20" t="str">
        <x:v>mlp</x:v>
      </x:c>
      <x:c r="B379" s="20" t="str">
        <x:v>DQ0-TB250-TH50.csv</x:v>
      </x:c>
      <x:c r="C379" s="20" t="n">
        <x:v>2</x:v>
      </x:c>
      <x:c r="D379" s="20" t="str">
        <x:v>binary</x:v>
      </x:c>
      <x:c r="E379" s="36" t="n">
        <x:v>0</x:v>
      </x:c>
      <x:c r="F379" s="36" t="n">
        <x:v>0.8333333134651184</x:v>
      </x:c>
      <x:c r="G379" s="36" t="n">
        <x:v>0.1666666716337204</x:v>
      </x:c>
      <x:c r="H379" s="36" t="n">
        <x:v>0.19343606739615402</x:v>
      </x:c>
      <x:c r="I379" s="36" t="n">
        <x:v>0.31352921901270747</x:v>
      </x:c>
      <x:c r="J379" s="36" t="n">
        <x:v>0.4930347104867299</x:v>
      </x:c>
      <x:c r="K379" s="23" t="n">
        <x:f>0.5*(ABS(H379-E379)+ABS(I379-F379)+ABS(J379-G379))*100</x:f>
        <x:v>51.98041003507873</x:v>
      </x:c>
      <x:c r="L379" s="20" t="n">
        <x:v>24</x:v>
      </x:c>
    </x:row>
    <x:row r="380">
      <x:c r="A380" s="20" t="str">
        <x:v>mlp</x:v>
      </x:c>
      <x:c r="B380" s="20" t="str">
        <x:v>DQ0-TB500-TH50.csv</x:v>
      </x:c>
      <x:c r="C380" s="20" t="n">
        <x:v>2</x:v>
      </x:c>
      <x:c r="D380" s="20" t="str">
        <x:v>binary</x:v>
      </x:c>
      <x:c r="E380" s="36" t="n">
        <x:v>0</x:v>
      </x:c>
      <x:c r="F380" s="36" t="n">
        <x:v>0.9090909361839294</x:v>
      </x:c>
      <x:c r="G380" s="36" t="n">
        <x:v>0.09090909361839294</x:v>
      </x:c>
      <x:c r="H380" s="36" t="n">
        <x:v>0.11643530769894521</x:v>
      </x:c>
      <x:c r="I380" s="36" t="n">
        <x:v>0.7347230749825636</x:v>
      </x:c>
      <x:c r="J380" s="36" t="n">
        <x:v>0.14884161793937287</x:v>
      </x:c>
      <x:c r="K380" s="23" t="n">
        <x:f>0.5*(ABS(H380-E380)+ABS(I380-F380)+ABS(J380-G380))*100</x:f>
        <x:v>17.436784661064546</x:v>
      </x:c>
      <x:c r="L380" s="20" t="n">
        <x:v>24</x:v>
      </x:c>
    </x:row>
    <x:row r="381">
      <x:c r="A381" s="20" t="str">
        <x:v>mlp</x:v>
      </x:c>
      <x:c r="B381" s="20" t="str">
        <x:v>DQ12-TB12-TH24.csv</x:v>
      </x:c>
      <x:c r="C381" s="20" t="n">
        <x:v>2</x:v>
      </x:c>
      <x:c r="D381" s="20" t="str">
        <x:v>ternary</x:v>
      </x:c>
      <x:c r="E381" s="36" t="n">
        <x:v>0.25</x:v>
      </x:c>
      <x:c r="F381" s="36" t="n">
        <x:v>0.25</x:v>
      </x:c>
      <x:c r="G381" s="36" t="n">
        <x:v>0.5</x:v>
      </x:c>
      <x:c r="H381" s="36" t="n">
        <x:v>0.28454433117682737</x:v>
      </x:c>
      <x:c r="I381" s="36" t="n">
        <x:v>0.3446990468849738</x:v>
      </x:c>
      <x:c r="J381" s="36" t="n">
        <x:v>0.37075662426650524</x:v>
      </x:c>
      <x:c r="K381" s="23" t="n">
        <x:f>0.5*(ABS(H381-E381)+ABS(I381-F381)+ABS(J381-G381))*100</x:f>
        <x:v>12.924337689764798</x:v>
      </x:c>
      <x:c r="L381" s="20" t="n">
        <x:v>24</x:v>
      </x:c>
    </x:row>
    <x:row r="382">
      <x:c r="A382" s="20" t="str">
        <x:v>mlp</x:v>
      </x:c>
      <x:c r="B382" s="20" t="str">
        <x:v>DQ12-TB24-TH6.csv</x:v>
      </x:c>
      <x:c r="C382" s="20" t="n">
        <x:v>2</x:v>
      </x:c>
      <x:c r="D382" s="20" t="str">
        <x:v>ternary</x:v>
      </x:c>
      <x:c r="E382" s="36" t="n">
        <x:v>0.2857142984867096</x:v>
      </x:c>
      <x:c r="F382" s="36" t="n">
        <x:v>0.5714285969734192</x:v>
      </x:c>
      <x:c r="G382" s="36" t="n">
        <x:v>0.1428571492433548</x:v>
      </x:c>
      <x:c r="H382" s="36" t="n">
        <x:v>0.313795901214083</x:v>
      </x:c>
      <x:c r="I382" s="36" t="n">
        <x:v>0.5753004538516203</x:v>
      </x:c>
      <x:c r="J382" s="36" t="n">
        <x:v>0.11090366278464596</x:v>
      </x:c>
      <x:c r="K382" s="23" t="n">
        <x:f>0.5*(ABS(H382-E382)+ABS(I382-F382)+ABS(J382-G382))*100</x:f>
        <x:v>3.1953473032141697</x:v>
      </x:c>
      <x:c r="L382" s="20" t="n">
        <x:v>24</x:v>
      </x:c>
    </x:row>
    <x:row r="383">
      <x:c r="A383" s="20" t="str">
        <x:v>mlp</x:v>
      </x:c>
      <x:c r="B383" s="20" t="str">
        <x:v>DQ12-TB3-TH3.csv</x:v>
      </x:c>
      <x:c r="C383" s="20" t="n">
        <x:v>2</x:v>
      </x:c>
      <x:c r="D383" s="20" t="str">
        <x:v>ternary</x:v>
      </x:c>
      <x:c r="E383" s="36" t="n">
        <x:v>0.6666666865348816</x:v>
      </x:c>
      <x:c r="F383" s="36" t="n">
        <x:v>0.1666666716337204</x:v>
      </x:c>
      <x:c r="G383" s="36" t="n">
        <x:v>0.1666666716337204</x:v>
      </x:c>
      <x:c r="H383" s="36" t="n">
        <x:v>0.44788646573821705</x:v>
      </x:c>
      <x:c r="I383" s="36" t="n">
        <x:v>0.2661333655317624</x:v>
      </x:c>
      <x:c r="J383" s="36" t="n">
        <x:v>0.28598016935090226</x:v>
      </x:c>
      <x:c r="K383" s="23" t="n">
        <x:f>0.5*(ABS(H383-E383)+ABS(I383-F383)+ABS(J383-G383))*100</x:f>
        <x:v>21.87802062059442</x:v>
      </x:c>
      <x:c r="L383" s="20" t="n">
        <x:v>24</x:v>
      </x:c>
    </x:row>
    <x:row r="384">
      <x:c r="A384" s="20" t="str">
        <x:v>mlp</x:v>
      </x:c>
      <x:c r="B384" s="20" t="str">
        <x:v>DQ12-TB6-TH6.csv</x:v>
      </x:c>
      <x:c r="C384" s="20" t="n">
        <x:v>2</x:v>
      </x:c>
      <x:c r="D384" s="20" t="str">
        <x:v>ternary</x:v>
      </x:c>
      <x:c r="E384" s="36" t="n">
        <x:v>0.5</x:v>
      </x:c>
      <x:c r="F384" s="36" t="n">
        <x:v>0.25</x:v>
      </x:c>
      <x:c r="G384" s="36" t="n">
        <x:v>0.25</x:v>
      </x:c>
      <x:c r="H384" s="36" t="n">
        <x:v>0.40084345638751984</x:v>
      </x:c>
      <x:c r="I384" s="36" t="n">
        <x:v>0.2808621898293495</x:v>
      </x:c>
      <x:c r="J384" s="36" t="n">
        <x:v>0.31829434384902316</x:v>
      </x:c>
      <x:c r="K384" s="23" t="n">
        <x:f>0.5*(ABS(H384-E384)+ABS(I384-F384)+ABS(J384-G384))*100</x:f>
        <x:v>9.915653864542643</x:v>
      </x:c>
      <x:c r="L384" s="20" t="n">
        <x:v>24</x:v>
      </x:c>
    </x:row>
    <x:row r="385">
      <x:c r="A385" s="20" t="str">
        <x:v>mlp</x:v>
      </x:c>
      <x:c r="B385" s="20" t="str">
        <x:v>DQ24-TB12-TH12.csv</x:v>
      </x:c>
      <x:c r="C385" s="20" t="n">
        <x:v>2</x:v>
      </x:c>
      <x:c r="D385" s="20" t="str">
        <x:v>ternary</x:v>
      </x:c>
      <x:c r="E385" s="36" t="n">
        <x:v>0.5</x:v>
      </x:c>
      <x:c r="F385" s="36" t="n">
        <x:v>0.25</x:v>
      </x:c>
      <x:c r="G385" s="36" t="n">
        <x:v>0.25</x:v>
      </x:c>
      <x:c r="H385" s="36" t="n">
        <x:v>0.4091888510932525</x:v>
      </x:c>
      <x:c r="I385" s="36" t="n">
        <x:v>0.2735112030059099</x:v>
      </x:c>
      <x:c r="J385" s="36" t="n">
        <x:v>0.3172999285161495</x:v>
      </x:c>
      <x:c r="K385" s="23" t="n">
        <x:f>0.5*(ABS(H385-E385)+ABS(I385-F385)+ABS(J385-G385))*100</x:f>
        <x:v>9.081114021440348</x:v>
      </x:c>
      <x:c r="L385" s="20" t="n">
        <x:v>24</x:v>
      </x:c>
    </x:row>
    <x:row r="386">
      <x:c r="A386" s="20" t="str">
        <x:v>mlp</x:v>
      </x:c>
      <x:c r="B386" s="20" t="str">
        <x:v>DQ24-TB12-TH3.csv</x:v>
      </x:c>
      <x:c r="C386" s="20" t="n">
        <x:v>2</x:v>
      </x:c>
      <x:c r="D386" s="20" t="str">
        <x:v>ternary</x:v>
      </x:c>
      <x:c r="E386" s="36" t="n">
        <x:v>0.6153846383094788</x:v>
      </x:c>
      <x:c r="F386" s="36" t="n">
        <x:v>0.3076923191547394</x:v>
      </x:c>
      <x:c r="G386" s="36" t="n">
        <x:v>0.07692307978868484</x:v>
      </x:c>
      <x:c r="H386" s="36" t="n">
        <x:v>0.5623075713713964</x:v>
      </x:c>
      <x:c r="I386" s="36" t="n">
        <x:v>0.3165459254135688</x:v>
      </x:c>
      <x:c r="J386" s="36" t="n">
        <x:v>0.12114650352547567</x:v>
      </x:c>
      <x:c r="K386" s="23" t="n">
        <x:f>0.5*(ABS(H386-E386)+ABS(I386-F386)+ABS(J386-G386))*100</x:f>
        <x:v>5.307704846685128</x:v>
      </x:c>
      <x:c r="L386" s="20" t="n">
        <x:v>24</x:v>
      </x:c>
    </x:row>
    <x:row r="387">
      <x:c r="A387" s="20" t="str">
        <x:v>mlp</x:v>
      </x:c>
      <x:c r="B387" s="20" t="str">
        <x:v>DQ24-TB6-TH6.csv</x:v>
      </x:c>
      <x:c r="C387" s="20" t="n">
        <x:v>2</x:v>
      </x:c>
      <x:c r="D387" s="20" t="str">
        <x:v>ternary</x:v>
      </x:c>
      <x:c r="E387" s="36" t="n">
        <x:v>0.6666666865348816</x:v>
      </x:c>
      <x:c r="F387" s="36" t="n">
        <x:v>0.1666666716337204</x:v>
      </x:c>
      <x:c r="G387" s="36" t="n">
        <x:v>0.1666666716337204</x:v>
      </x:c>
      <x:c r="H387" s="36" t="n">
        <x:v>0.49045355245471</x:v>
      </x:c>
      <x:c r="I387" s="36" t="n">
        <x:v>0.24503469156722227</x:v>
      </x:c>
      <x:c r="J387" s="36" t="n">
        <x:v>0.2645117637390892</x:v>
      </x:c>
      <x:c r="K387" s="23" t="n">
        <x:f>0.5*(ABS(H387-E387)+ABS(I387-F387)+ABS(J387-G387))*100</x:f>
        <x:v>17.62131230595211</x:v>
      </x:c>
      <x:c r="L387" s="20" t="n">
        <x:v>24</x:v>
      </x:c>
    </x:row>
    <x:row r="388">
      <x:c r="A388" s="20" t="str">
        <x:v>mlp</x:v>
      </x:c>
      <x:c r="B388" s="20" t="str">
        <x:v>DQ3-TB24-TH3.csv</x:v>
      </x:c>
      <x:c r="C388" s="20" t="n">
        <x:v>2</x:v>
      </x:c>
      <x:c r="D388" s="20" t="str">
        <x:v>ternary</x:v>
      </x:c>
      <x:c r="E388" s="36" t="n">
        <x:v>0.10000000149011612</x:v>
      </x:c>
      <x:c r="F388" s="36" t="n">
        <x:v>0.800000011920929</x:v>
      </x:c>
      <x:c r="G388" s="36" t="n">
        <x:v>0.10000000149011612</x:v>
      </x:c>
      <x:c r="H388" s="36" t="n">
        <x:v>0.23318303314348063</x:v>
      </x:c>
      <x:c r="I388" s="36" t="n">
        <x:v>0.4450782649219036</x:v>
      </x:c>
      <x:c r="J388" s="36" t="n">
        <x:v>0.32173870628078777</x:v>
      </x:c>
      <x:c r="K388" s="23" t="n">
        <x:f>0.5*(ABS(H388-E388)+ABS(I388-F388)+ABS(J388-G388))*100</x:f>
        <x:v>35.49217417215308</x:v>
      </x:c>
      <x:c r="L388" s="20" t="n">
        <x:v>24</x:v>
      </x:c>
    </x:row>
    <x:row r="389">
      <x:c r="A389" s="20" t="str">
        <x:v>mlp</x:v>
      </x:c>
      <x:c r="B389" s="20" t="str">
        <x:v>DQ3-TB3-TH24.csv</x:v>
      </x:c>
      <x:c r="C389" s="20" t="n">
        <x:v>2</x:v>
      </x:c>
      <x:c r="D389" s="20" t="str">
        <x:v>ternary</x:v>
      </x:c>
      <x:c r="E389" s="36" t="n">
        <x:v>0.10000000149011612</x:v>
      </x:c>
      <x:c r="F389" s="36" t="n">
        <x:v>0.10000000149011612</x:v>
      </x:c>
      <x:c r="G389" s="36" t="n">
        <x:v>0.800000011920929</x:v>
      </x:c>
      <x:c r="H389" s="36" t="n">
        <x:v>0.09147045786570136</x:v>
      </x:c>
      <x:c r="I389" s="36" t="n">
        <x:v>0.21200133844589195</x:v>
      </x:c>
      <x:c r="J389" s="36" t="n">
        <x:v>0.6965281963348389</x:v>
      </x:c>
      <x:c r="K389" s="23" t="n">
        <x:f>0.5*(ABS(H389-E389)+ABS(I389-F389)+ABS(J389-G389))*100</x:f>
        <x:v>11.200134808314033</x:v>
      </x:c>
      <x:c r="L389" s="20" t="n">
        <x:v>24</x:v>
      </x:c>
    </x:row>
    <x:row r="390">
      <x:c r="A390" s="20" t="str">
        <x:v>mlp</x:v>
      </x:c>
      <x:c r="B390" s="20" t="str">
        <x:v>DQ3-TB3-TH6.csv</x:v>
      </x:c>
      <x:c r="C390" s="20" t="n">
        <x:v>2</x:v>
      </x:c>
      <x:c r="D390" s="20" t="str">
        <x:v>ternary</x:v>
      </x:c>
      <x:c r="E390" s="36" t="n">
        <x:v>0.25</x:v>
      </x:c>
      <x:c r="F390" s="36" t="n">
        <x:v>0.25</x:v>
      </x:c>
      <x:c r="G390" s="36" t="n">
        <x:v>0.5</x:v>
      </x:c>
      <x:c r="H390" s="36" t="n">
        <x:v>0.16557721514254808</x:v>
      </x:c>
      <x:c r="I390" s="36" t="n">
        <x:v>0.3421584827204545</x:v>
      </x:c>
      <x:c r="J390" s="36" t="n">
        <x:v>0.4922642943759759</x:v>
      </x:c>
      <x:c r="K390" s="23" t="n">
        <x:f>0.5*(ABS(H390-E390)+ABS(I390-F390)+ABS(J390-G390))*100</x:f>
        <x:v>9.215848660096526</x:v>
      </x:c>
      <x:c r="L390" s="20" t="n">
        <x:v>24</x:v>
      </x:c>
    </x:row>
    <x:row r="391">
      <x:c r="A391" s="20" t="str">
        <x:v>mlp</x:v>
      </x:c>
      <x:c r="B391" s="20" t="str">
        <x:v>DQ333-TB333-TH33.csv</x:v>
      </x:c>
      <x:c r="C391" s="20" t="n">
        <x:v>2</x:v>
      </x:c>
      <x:c r="D391" s="20" t="str">
        <x:v>ternary</x:v>
      </x:c>
      <x:c r="E391" s="36" t="n">
        <x:v>0.4763948619365692</x:v>
      </x:c>
      <x:c r="F391" s="36" t="n">
        <x:v>0.4763948619365692</x:v>
      </x:c>
      <x:c r="G391" s="36" t="n">
        <x:v>0.04721030220389366</x:v>
      </x:c>
      <x:c r="H391" s="36" t="n">
        <x:v>0.5976342484354973</x:v>
      </x:c>
      <x:c r="I391" s="36" t="n">
        <x:v>0.2500555918862422</x:v>
      </x:c>
      <x:c r="J391" s="36" t="n">
        <x:v>0.15231016736167172</x:v>
      </x:c>
      <x:c r="K391" s="23" t="n">
        <x:f>0.5*(ABS(H391-E391)+ABS(I391-F391)+ABS(J391-G391))*100</x:f>
        <x:v>22.633926085351657</x:v>
      </x:c>
      <x:c r="L391" s="20" t="n">
        <x:v>24</x:v>
      </x:c>
    </x:row>
    <x:row r="392">
      <x:c r="A392" s="20" t="str">
        <x:v>mlp</x:v>
      </x:c>
      <x:c r="B392" s="20" t="str">
        <x:v>DQ50-TB150-TH0.csv</x:v>
      </x:c>
      <x:c r="C392" s="20" t="n">
        <x:v>2</x:v>
      </x:c>
      <x:c r="D392" s="20" t="str">
        <x:v>binary</x:v>
      </x:c>
      <x:c r="E392" s="36" t="n">
        <x:v>0.25</x:v>
      </x:c>
      <x:c r="F392" s="36" t="n">
        <x:v>0.75</x:v>
      </x:c>
      <x:c r="G392" s="36" t="n">
        <x:v>0</x:v>
      </x:c>
      <x:c r="H392" s="36" t="n">
        <x:v>0.4759072543432315</x:v>
      </x:c>
      <x:c r="I392" s="36" t="n">
        <x:v>0.4949752415219943</x:v>
      </x:c>
      <x:c r="J392" s="36" t="n">
        <x:v>0.02911750626905511</x:v>
      </x:c>
      <x:c r="K392" s="23" t="n">
        <x:f>0.5*(ABS(H392-E392)+ABS(I392-F392)+ABS(J392-G392))*100</x:f>
        <x:v>25.502475954514615</x:v>
      </x:c>
      <x:c r="L392" s="20" t="n">
        <x:v>24</x:v>
      </x:c>
    </x:row>
    <x:row r="393">
      <x:c r="A393" s="20" t="str">
        <x:v>mlp</x:v>
      </x:c>
      <x:c r="B393" s="20" t="str">
        <x:v>DQ500-TB0-TH500.csv</x:v>
      </x:c>
      <x:c r="C393" s="20" t="n">
        <x:v>2</x:v>
      </x:c>
      <x:c r="D393" s="20" t="str">
        <x:v>binary</x:v>
      </x:c>
      <x:c r="E393" s="36" t="n">
        <x:v>0.5</x:v>
      </x:c>
      <x:c r="F393" s="36" t="n">
        <x:v>0</x:v>
      </x:c>
      <x:c r="G393" s="36" t="n">
        <x:v>0.5</x:v>
      </x:c>
      <x:c r="H393" s="36" t="n">
        <x:v>0.20743906125426292</x:v>
      </x:c>
      <x:c r="I393" s="36" t="n">
        <x:v>0.13217565176698068</x:v>
      </x:c>
      <x:c r="J393" s="36" t="n">
        <x:v>0.6603852758804957</x:v>
      </x:c>
      <x:c r="K393" s="23" t="n">
        <x:f>0.5*(ABS(H393-E393)+ABS(I393-F393)+ABS(J393-G393))*100</x:f>
        <x:v>29.25609331966067</x:v>
      </x:c>
      <x:c r="L393" s="20" t="n">
        <x:v>24</x:v>
      </x:c>
    </x:row>
    <x:row r="394">
      <x:c r="A394" s="20" t="str">
        <x:v>mlp</x:v>
      </x:c>
      <x:c r="B394" s="20" t="str">
        <x:v>DQ6-TB12-TH3.csv</x:v>
      </x:c>
      <x:c r="C394" s="20" t="n">
        <x:v>2</x:v>
      </x:c>
      <x:c r="D394" s="20" t="str">
        <x:v>ternary</x:v>
      </x:c>
      <x:c r="E394" s="36" t="n">
        <x:v>0.2857142984867096</x:v>
      </x:c>
      <x:c r="F394" s="36" t="n">
        <x:v>0.5714285969734192</x:v>
      </x:c>
      <x:c r="G394" s="36" t="n">
        <x:v>0.1428571492433548</x:v>
      </x:c>
      <x:c r="H394" s="36" t="n">
        <x:v>0.3408533235390981</x:v>
      </x:c>
      <x:c r="I394" s="36" t="n">
        <x:v>0.3433842944602172</x:v>
      </x:c>
      <x:c r="J394" s="36" t="n">
        <x:v>0.31576236461599666</x:v>
      </x:c>
      <x:c r="K394" s="23" t="n">
        <x:f>0.5*(ABS(H394-E394)+ABS(I394-F394)+ABS(J394-G394))*100</x:f>
        <x:v>22.804427146911618</x:v>
      </x:c>
      <x:c r="L394" s="20" t="n">
        <x:v>24</x:v>
      </x:c>
    </x:row>
    <x:row r="395">
      <x:c r="A395" s="20" t="str">
        <x:v>mlp</x:v>
      </x:c>
      <x:c r="B395" s="20" t="str">
        <x:v>DQ6-TB3-TH3.csv</x:v>
      </x:c>
      <x:c r="C395" s="20" t="n">
        <x:v>2</x:v>
      </x:c>
      <x:c r="D395" s="20" t="str">
        <x:v>ternary</x:v>
      </x:c>
      <x:c r="E395" s="36" t="n">
        <x:v>0.5</x:v>
      </x:c>
      <x:c r="F395" s="36" t="n">
        <x:v>0.25</x:v>
      </x:c>
      <x:c r="G395" s="36" t="n">
        <x:v>0.25</x:v>
      </x:c>
      <x:c r="H395" s="36" t="n">
        <x:v>0.4227543498078982</x:v>
      </x:c>
      <x:c r="I395" s="36" t="n">
        <x:v>0.25862056637803715</x:v>
      </x:c>
      <x:c r="J395" s="36" t="n">
        <x:v>0.31862507574260235</x:v>
      </x:c>
      <x:c r="K395" s="23" t="n">
        <x:f>0.5*(ABS(H395-E395)+ABS(I395-F395)+ABS(J395-G395))*100</x:f>
        <x:v>7.724564615637064</x:v>
      </x:c>
      <x:c r="L395" s="20" t="n">
        <x:v>24</x:v>
      </x:c>
    </x:row>
    <x:row r="396">
      <x:c r="A396" s="20" t="str">
        <x:v>mlp</x:v>
      </x:c>
      <x:c r="B396" s="20" t="str">
        <x:v>DQ6-TB6-TH12.csv</x:v>
      </x:c>
      <x:c r="C396" s="20" t="n">
        <x:v>2</x:v>
      </x:c>
      <x:c r="D396" s="20" t="str">
        <x:v>ternary</x:v>
      </x:c>
      <x:c r="E396" s="36" t="n">
        <x:v>0.25</x:v>
      </x:c>
      <x:c r="F396" s="36" t="n">
        <x:v>0.25</x:v>
      </x:c>
      <x:c r="G396" s="36" t="n">
        <x:v>0.5</x:v>
      </x:c>
      <x:c r="H396" s="36" t="n">
        <x:v>0.2718830065180858</x:v>
      </x:c>
      <x:c r="I396" s="36" t="n">
        <x:v>0.24183632247149944</x:v>
      </x:c>
      <x:c r="J396" s="36" t="n">
        <x:v>0.4862806722521782</x:v>
      </x:c>
      <x:c r="K396" s="23" t="n">
        <x:f>0.5*(ABS(H396-E396)+ABS(I396-F396)+ABS(J396-G396))*100</x:f>
        <x:v>2.188300589720407</x:v>
      </x:c>
      <x:c r="L396" s="20" t="n">
        <x:v>24</x:v>
      </x:c>
    </x:row>
    <x:row r="397">
      <x:c r="A397" s="20" t="str">
        <x:v>mlp</x:v>
      </x:c>
      <x:c r="B397" s="20" t="str">
        <x:v>DQ12-TB12-TH6.csv</x:v>
      </x:c>
      <x:c r="C397" s="20" t="n">
        <x:v>3</x:v>
      </x:c>
      <x:c r="D397" s="20" t="str">
        <x:v>ternary</x:v>
      </x:c>
      <x:c r="E397" s="36" t="n">
        <x:v>0.4000000059604645</x:v>
      </x:c>
      <x:c r="F397" s="36" t="n">
        <x:v>0.4000000059604645</x:v>
      </x:c>
      <x:c r="G397" s="36" t="n">
        <x:v>0.20000000298023224</x:v>
      </x:c>
      <x:c r="H397" s="36" t="n">
        <x:v>0.51387191315492</x:v>
      </x:c>
      <x:c r="I397" s="36" t="n">
        <x:v>0.29497244271139306</x:v>
      </x:c>
      <x:c r="J397" s="36" t="n">
        <x:v>0.1911556369935473</x:v>
      </x:c>
      <x:c r="K397" s="23" t="n">
        <x:f>0.5*(ABS(H397-E397)+ABS(I397-F397)+ABS(J397-G397))*100</x:f>
        <x:v>11.387191821510594</x:v>
      </x:c>
      <x:c r="L397" s="20" t="n">
        <x:v>24</x:v>
      </x:c>
    </x:row>
    <x:row r="398">
      <x:c r="A398" s="20" t="str">
        <x:v>mlp</x:v>
      </x:c>
      <x:c r="B398" s="20" t="str">
        <x:v>DQ12-TB24-TH24.csv</x:v>
      </x:c>
      <x:c r="C398" s="20" t="n">
        <x:v>3</x:v>
      </x:c>
      <x:c r="D398" s="20" t="str">
        <x:v>ternary</x:v>
      </x:c>
      <x:c r="E398" s="36" t="n">
        <x:v>0.20000000298023224</x:v>
      </x:c>
      <x:c r="F398" s="36" t="n">
        <x:v>0.4000000059604645</x:v>
      </x:c>
      <x:c r="G398" s="36" t="n">
        <x:v>0.4000000059604645</x:v>
      </x:c>
      <x:c r="H398" s="36" t="n">
        <x:v>0.2800084079305331</x:v>
      </x:c>
      <x:c r="I398" s="36" t="n">
        <x:v>0.4033924291531245</x:v>
      </x:c>
      <x:c r="J398" s="36" t="n">
        <x:v>0.3165991585701704</x:v>
      </x:c>
      <x:c r="K398" s="23" t="n">
        <x:f>0.5*(ABS(H398-E398)+ABS(I398-F398)+ABS(J398-G398))*100</x:f>
        <x:v>8.340083776662748</x:v>
      </x:c>
      <x:c r="L398" s="20" t="n">
        <x:v>24</x:v>
      </x:c>
    </x:row>
    <x:row r="399">
      <x:c r="A399" s="20" t="str">
        <x:v>mlp</x:v>
      </x:c>
      <x:c r="B399" s="20" t="str">
        <x:v>DQ12-TB24-TH3.csv</x:v>
      </x:c>
      <x:c r="C399" s="20" t="n">
        <x:v>3</x:v>
      </x:c>
      <x:c r="D399" s="20" t="str">
        <x:v>ternary</x:v>
      </x:c>
      <x:c r="E399" s="36" t="n">
        <x:v>0.3076923191547394</x:v>
      </x:c>
      <x:c r="F399" s="36" t="n">
        <x:v>0.6153846383094788</x:v>
      </x:c>
      <x:c r="G399" s="36" t="n">
        <x:v>0.07692307978868484</x:v>
      </x:c>
      <x:c r="H399" s="36" t="n">
        <x:v>0.5270825984577338</x:v>
      </x:c>
      <x:c r="I399" s="36" t="n">
        <x:v>0.3191635726640622</x:v>
      </x:c>
      <x:c r="J399" s="36" t="n">
        <x:v>0.15375381739189228</x:v>
      </x:c>
      <x:c r="K399" s="23" t="n">
        <x:f>0.5*(ABS(H399-E399)+ABS(I399-F399)+ABS(J399-G399))*100</x:f>
        <x:v>29.622104127580922</x:v>
      </x:c>
      <x:c r="L399" s="20" t="n">
        <x:v>24</x:v>
      </x:c>
    </x:row>
    <x:row r="400">
      <x:c r="A400" s="20" t="str">
        <x:v>mlp</x:v>
      </x:c>
      <x:c r="B400" s="20" t="str">
        <x:v>DQ12-TB3-TH12.csv</x:v>
      </x:c>
      <x:c r="C400" s="20" t="n">
        <x:v>3</x:v>
      </x:c>
      <x:c r="D400" s="20" t="str">
        <x:v>ternary</x:v>
      </x:c>
      <x:c r="E400" s="36" t="n">
        <x:v>0.4444444477558136</x:v>
      </x:c>
      <x:c r="F400" s="36" t="n">
        <x:v>0.1111111119389534</x:v>
      </x:c>
      <x:c r="G400" s="36" t="n">
        <x:v>0.4444444477558136</x:v>
      </x:c>
      <x:c r="H400" s="36" t="n">
        <x:v>0.4575788800915082</x:v>
      </x:c>
      <x:c r="I400" s="36" t="n">
        <x:v>0.1879994369422396</x:v>
      </x:c>
      <x:c r="J400" s="36" t="n">
        <x:v>0.3544216814140479</x:v>
      </x:c>
      <x:c r="K400" s="23" t="n">
        <x:f>0.5*(ABS(H400-E400)+ABS(I400-F400)+ABS(J400-G400))*100</x:f>
        <x:v>9.002276184037326</x:v>
      </x:c>
      <x:c r="L400" s="20" t="n">
        <x:v>24</x:v>
      </x:c>
    </x:row>
    <x:row r="401">
      <x:c r="A401" s="20" t="str">
        <x:v>mlp</x:v>
      </x:c>
      <x:c r="B401" s="20" t="str">
        <x:v>DQ12-TB6-TH3.csv</x:v>
      </x:c>
      <x:c r="C401" s="20" t="n">
        <x:v>3</x:v>
      </x:c>
      <x:c r="D401" s="20" t="str">
        <x:v>ternary</x:v>
      </x:c>
      <x:c r="E401" s="36" t="n">
        <x:v>0.5714285969734192</x:v>
      </x:c>
      <x:c r="F401" s="36" t="n">
        <x:v>0.2857142984867096</x:v>
      </x:c>
      <x:c r="G401" s="36" t="n">
        <x:v>0.1428571492433548</x:v>
      </x:c>
      <x:c r="H401" s="36" t="n">
        <x:v>0.5421835978825887</x:v>
      </x:c>
      <x:c r="I401" s="36" t="n">
        <x:v>0.25438302755355835</x:v>
      </x:c>
      <x:c r="J401" s="36" t="n">
        <x:v>0.20343337021768093</x:v>
      </x:c>
      <x:c r="K401" s="23" t="n">
        <x:f>0.5*(ABS(H401-E401)+ABS(I401-F401)+ABS(J401-G401))*100</x:f>
        <x:v>6.057624549915391</x:v>
      </x:c>
      <x:c r="L401" s="20" t="n">
        <x:v>24</x:v>
      </x:c>
    </x:row>
    <x:row r="402">
      <x:c r="A402" s="20" t="str">
        <x:v>mlp</x:v>
      </x:c>
      <x:c r="B402" s="20" t="str">
        <x:v>DQ24-TB12-TH6.csv</x:v>
      </x:c>
      <x:c r="C402" s="20" t="n">
        <x:v>3</x:v>
      </x:c>
      <x:c r="D402" s="20" t="str">
        <x:v>ternary</x:v>
      </x:c>
      <x:c r="E402" s="36" t="n">
        <x:v>0.5714285969734192</x:v>
      </x:c>
      <x:c r="F402" s="36" t="n">
        <x:v>0.2857142984867096</x:v>
      </x:c>
      <x:c r="G402" s="36" t="n">
        <x:v>0.1428571492433548</x:v>
      </x:c>
      <x:c r="H402" s="36" t="n">
        <x:v>0.6891860645264387</x:v>
      </x:c>
      <x:c r="I402" s="36" t="n">
        <x:v>0.18955215501288572</x:v>
      </x:c>
      <x:c r="J402" s="36" t="n">
        <x:v>0.12126178635905187</x:v>
      </x:c>
      <x:c r="K402" s="23" t="n">
        <x:f>0.5*(ABS(H402-E402)+ABS(I402-F402)+ABS(J402-G402))*100</x:f>
        <x:v>11.775748695557317</x:v>
      </x:c>
      <x:c r="L402" s="20" t="n">
        <x:v>24</x:v>
      </x:c>
    </x:row>
    <x:row r="403">
      <x:c r="A403" s="20" t="str">
        <x:v>mlp</x:v>
      </x:c>
      <x:c r="B403" s="20" t="str">
        <x:v>DQ24-TB24-TH12.csv</x:v>
      </x:c>
      <x:c r="C403" s="20" t="n">
        <x:v>3</x:v>
      </x:c>
      <x:c r="D403" s="20" t="str">
        <x:v>ternary</x:v>
      </x:c>
      <x:c r="E403" s="36" t="n">
        <x:v>0.4000000059604645</x:v>
      </x:c>
      <x:c r="F403" s="36" t="n">
        <x:v>0.4000000059604645</x:v>
      </x:c>
      <x:c r="G403" s="36" t="n">
        <x:v>0.20000000298023224</x:v>
      </x:c>
      <x:c r="H403" s="36" t="n">
        <x:v>0.5091120082264146</x:v>
      </x:c>
      <x:c r="I403" s="36" t="n">
        <x:v>0.26545450650155544</x:v>
      </x:c>
      <x:c r="J403" s="36" t="n">
        <x:v>0.2254335070028901</x:v>
      </x:c>
      <x:c r="K403" s="23" t="n">
        <x:f>0.5*(ABS(H403-E403)+ABS(I403-F403)+ABS(J403-G403))*100</x:f>
        <x:v>13.454550287375849</x:v>
      </x:c>
      <x:c r="L403" s="20" t="n">
        <x:v>24</x:v>
      </x:c>
    </x:row>
    <x:row r="404">
      <x:c r="A404" s="20" t="str">
        <x:v>mlp</x:v>
      </x:c>
      <x:c r="B404" s="20" t="str">
        <x:v>DQ24-TB24-TH3.csv</x:v>
      </x:c>
      <x:c r="C404" s="20" t="n">
        <x:v>3</x:v>
      </x:c>
      <x:c r="D404" s="20" t="str">
        <x:v>ternary</x:v>
      </x:c>
      <x:c r="E404" s="36" t="n">
        <x:v>0.47058823704719543</x:v>
      </x:c>
      <x:c r="F404" s="36" t="n">
        <x:v>0.47058823704719543</x:v>
      </x:c>
      <x:c r="G404" s="36" t="n">
        <x:v>0.05882352963089943</x:v>
      </x:c>
      <x:c r="H404" s="36" t="n">
        <x:v>0.47386476894219715</x:v>
      </x:c>
      <x:c r="I404" s="36" t="n">
        <x:v>0.4213365552326043</x:v>
      </x:c>
      <x:c r="J404" s="36" t="n">
        <x:v>0.10479868680704385</x:v>
      </x:c>
      <x:c r="K404" s="23" t="n">
        <x:f>0.5*(ABS(H404-E404)+ABS(I404-F404)+ABS(J404-G404))*100</x:f>
        <x:v>4.925168544286862</x:v>
      </x:c>
      <x:c r="L404" s="20" t="n">
        <x:v>24</x:v>
      </x:c>
    </x:row>
    <x:row r="405">
      <x:c r="A405" s="20" t="str">
        <x:v>mlp</x:v>
      </x:c>
      <x:c r="B405" s="20" t="str">
        <x:v>DQ24-TB6-TH24.csv</x:v>
      </x:c>
      <x:c r="C405" s="20" t="n">
        <x:v>3</x:v>
      </x:c>
      <x:c r="D405" s="20" t="str">
        <x:v>ternary</x:v>
      </x:c>
      <x:c r="E405" s="36" t="n">
        <x:v>0.4444444477558136</x:v>
      </x:c>
      <x:c r="F405" s="36" t="n">
        <x:v>0.1111111119389534</x:v>
      </x:c>
      <x:c r="G405" s="36" t="n">
        <x:v>0.4444444477558136</x:v>
      </x:c>
      <x:c r="H405" s="36" t="n">
        <x:v>0.5658789624770483</x:v>
      </x:c>
      <x:c r="I405" s="36" t="n">
        <x:v>0.09564307316516836</x:v>
      </x:c>
      <x:c r="J405" s="36" t="n">
        <x:v>0.3384779679278533</x:v>
      </x:c>
      <x:c r="K405" s="23" t="n">
        <x:f>0.5*(ABS(H405-E405)+ABS(I405-F405)+ABS(J405-G405))*100</x:f>
        <x:v>12.143451666149002</x:v>
      </x:c>
      <x:c r="L405" s="20" t="n">
        <x:v>24</x:v>
      </x:c>
    </x:row>
    <x:row r="406">
      <x:c r="A406" s="20" t="str">
        <x:v>mlp</x:v>
      </x:c>
      <x:c r="B406" s="20" t="str">
        <x:v>DQ250-TB50-TH0.csv</x:v>
      </x:c>
      <x:c r="C406" s="20" t="n">
        <x:v>3</x:v>
      </x:c>
      <x:c r="D406" s="20" t="str">
        <x:v>binary</x:v>
      </x:c>
      <x:c r="E406" s="36" t="n">
        <x:v>0.8333333134651184</x:v>
      </x:c>
      <x:c r="F406" s="36" t="n">
        <x:v>0.1666666716337204</x:v>
      </x:c>
      <x:c r="G406" s="36" t="n">
        <x:v>0</x:v>
      </x:c>
      <x:c r="H406" s="36" t="n">
        <x:v>0.4692933391779661</x:v>
      </x:c>
      <x:c r="I406" s="36" t="n">
        <x:v>0.519633429745833</x:v>
      </x:c>
      <x:c r="J406" s="36" t="n">
        <x:v>0.011073214681042979</x:v>
      </x:c>
      <x:c r="K406" s="23" t="n">
        <x:f>0.5*(ABS(H406-E406)+ABS(I406-F406)+ABS(J406-G406))*100</x:f>
        <x:v>36.403997354015395</x:v>
      </x:c>
      <x:c r="L406" s="20" t="n">
        <x:v>24</x:v>
      </x:c>
    </x:row>
    <x:row r="407">
      <x:c r="A407" s="20" t="str">
        <x:v>mlp</x:v>
      </x:c>
      <x:c r="B407" s="20" t="str">
        <x:v>DQ3-TB12-TH24.csv</x:v>
      </x:c>
      <x:c r="C407" s="20" t="n">
        <x:v>3</x:v>
      </x:c>
      <x:c r="D407" s="20" t="str">
        <x:v>ternary</x:v>
      </x:c>
      <x:c r="E407" s="36" t="n">
        <x:v>0.07692307978868484</x:v>
      </x:c>
      <x:c r="F407" s="36" t="n">
        <x:v>0.3076923191547394</x:v>
      </x:c>
      <x:c r="G407" s="36" t="n">
        <x:v>0.6153846383094788</x:v>
      </x:c>
      <x:c r="H407" s="36" t="n">
        <x:v>0.21209138461078206</x:v>
      </x:c>
      <x:c r="I407" s="36" t="n">
        <x:v>0.19759799540042877</x:v>
      </x:c>
      <x:c r="J407" s="36" t="n">
        <x:v>0.5903106021384398</x:v>
      </x:c>
      <x:c r="K407" s="23" t="n">
        <x:f>0.5*(ABS(H407-E407)+ABS(I407-F407)+ABS(J407-G407))*100</x:f>
        <x:v>13.516833237372339</x:v>
      </x:c>
      <x:c r="L407" s="20" t="n">
        <x:v>24</x:v>
      </x:c>
    </x:row>
    <x:row r="408">
      <x:c r="A408" s="20" t="str">
        <x:v>mlp</x:v>
      </x:c>
      <x:c r="B408" s="20" t="str">
        <x:v>DQ3-TB6-TH6.csv</x:v>
      </x:c>
      <x:c r="C408" s="20" t="n">
        <x:v>3</x:v>
      </x:c>
      <x:c r="D408" s="20" t="str">
        <x:v>ternary</x:v>
      </x:c>
      <x:c r="E408" s="36" t="n">
        <x:v>0.20000000298023224</x:v>
      </x:c>
      <x:c r="F408" s="36" t="n">
        <x:v>0.4000000059604645</x:v>
      </x:c>
      <x:c r="G408" s="36" t="n">
        <x:v>0.4000000059604645</x:v>
      </x:c>
      <x:c r="H408" s="36" t="n">
        <x:v>0.2729659955948591</x:v>
      </x:c>
      <x:c r="I408" s="36" t="n">
        <x:v>0.27054782770574093</x:v>
      </x:c>
      <x:c r="J408" s="36" t="n">
        <x:v>0.45648617173234624</x:v>
      </x:c>
      <x:c r="K408" s="23" t="n">
        <x:f>0.5*(ABS(H408-E408)+ABS(I408-F408)+ABS(J408-G408))*100</x:f>
        <x:v>12.94521683206161</x:v>
      </x:c>
      <x:c r="L408" s="20" t="n">
        <x:v>24</x:v>
      </x:c>
    </x:row>
    <x:row r="409">
      <x:c r="A409" s="20" t="str">
        <x:v>mlp</x:v>
      </x:c>
      <x:c r="B409" s="20" t="str">
        <x:v>DQ50-TB0-TH150.csv</x:v>
      </x:c>
      <x:c r="C409" s="20" t="n">
        <x:v>3</x:v>
      </x:c>
      <x:c r="D409" s="20" t="str">
        <x:v>binary</x:v>
      </x:c>
      <x:c r="E409" s="36" t="n">
        <x:v>0.25</x:v>
      </x:c>
      <x:c r="F409" s="36" t="n">
        <x:v>0</x:v>
      </x:c>
      <x:c r="G409" s="36" t="n">
        <x:v>0.75</x:v>
      </x:c>
      <x:c r="H409" s="36" t="n">
        <x:v>0.11597551917657256</x:v>
      </x:c>
      <x:c r="I409" s="36" t="n">
        <x:v>0.05381441108571986</x:v>
      </x:c>
      <x:c r="J409" s="36" t="n">
        <x:v>0.8302100822329521</x:v>
      </x:c>
      <x:c r="K409" s="23" t="n">
        <x:f>0.5*(ABS(H409-E409)+ABS(I409-F409)+ABS(J409-G409))*100</x:f>
        <x:v>13.40244870710497</x:v>
      </x:c>
      <x:c r="L409" s="20" t="n">
        <x:v>24</x:v>
      </x:c>
    </x:row>
    <x:row r="410">
      <x:c r="A410" s="20" t="str">
        <x:v>mlp</x:v>
      </x:c>
      <x:c r="B410" s="20" t="str">
        <x:v>DQ50-TB250-TH0.csv</x:v>
      </x:c>
      <x:c r="C410" s="20" t="n">
        <x:v>3</x:v>
      </x:c>
      <x:c r="D410" s="20" t="str">
        <x:v>binary</x:v>
      </x:c>
      <x:c r="E410" s="36" t="n">
        <x:v>0.1666666716337204</x:v>
      </x:c>
      <x:c r="F410" s="36" t="n">
        <x:v>0.8333333134651184</x:v>
      </x:c>
      <x:c r="G410" s="36" t="n">
        <x:v>0</x:v>
      </x:c>
      <x:c r="H410" s="36" t="n">
        <x:v>0.0324982088447238</x:v>
      </x:c>
      <x:c r="I410" s="36" t="n">
        <x:v>0.9639629249771436</x:v>
      </x:c>
      <x:c r="J410" s="36" t="n">
        <x:v>0.0035388570904615335</x:v>
      </x:c>
      <x:c r="K410" s="23" t="n">
        <x:f>0.5*(ABS(H410-E410)+ABS(I410-F410)+ABS(J410-G410))*100</x:f>
        <x:v>13.41684656957417</x:v>
      </x:c>
      <x:c r="L410" s="20" t="n">
        <x:v>24</x:v>
      </x:c>
    </x:row>
    <x:row r="411">
      <x:c r="A411" s="20" t="str">
        <x:v>mlp</x:v>
      </x:c>
      <x:c r="B411" s="20" t="str">
        <x:v>DQ500-TB0-TH50.csv</x:v>
      </x:c>
      <x:c r="C411" s="20" t="n">
        <x:v>3</x:v>
      </x:c>
      <x:c r="D411" s="20" t="str">
        <x:v>binary</x:v>
      </x:c>
      <x:c r="E411" s="36" t="n">
        <x:v>0.9090909361839294</x:v>
      </x:c>
      <x:c r="F411" s="36" t="n">
        <x:v>0</x:v>
      </x:c>
      <x:c r="G411" s="36" t="n">
        <x:v>0.09090909361839294</x:v>
      </x:c>
      <x:c r="H411" s="36" t="n">
        <x:v>0.8412181089321772</x:v>
      </x:c>
      <x:c r="I411" s="36" t="n">
        <x:v>0.06703871651552618</x:v>
      </x:c>
      <x:c r="J411" s="36" t="n">
        <x:v>0.0917431899967293</x:v>
      </x:c>
      <x:c r="K411" s="23" t="n">
        <x:f>0.5*(ABS(H411-E411)+ABS(I411-F411)+ABS(J411-G411))*100</x:f>
        <x:v>6.78728200728074</x:v>
      </x:c>
      <x:c r="L411" s="20" t="n">
        <x:v>24</x:v>
      </x:c>
    </x:row>
    <x:row r="412">
      <x:c r="A412" s="20" t="str">
        <x:v>mlp</x:v>
      </x:c>
      <x:c r="B412" s="20" t="str">
        <x:v>DQ500-TB500-TH0.csv</x:v>
      </x:c>
      <x:c r="C412" s="20" t="n">
        <x:v>3</x:v>
      </x:c>
      <x:c r="D412" s="20" t="str">
        <x:v>binary</x:v>
      </x:c>
      <x:c r="E412" s="36" t="n">
        <x:v>0.5</x:v>
      </x:c>
      <x:c r="F412" s="36" t="n">
        <x:v>0.5</x:v>
      </x:c>
      <x:c r="G412" s="36" t="n">
        <x:v>0</x:v>
      </x:c>
      <x:c r="H412" s="36" t="n">
        <x:v>0.7110108671089014</x:v>
      </x:c>
      <x:c r="I412" s="36" t="n">
        <x:v>0.27871370253463584</x:v>
      </x:c>
      <x:c r="J412" s="36" t="n">
        <x:v>0.01027544184277455</x:v>
      </x:c>
      <x:c r="K412" s="23" t="n">
        <x:f>0.5*(ABS(H412-E412)+ABS(I412-F412)+ABS(J412-G412))*100</x:f>
        <x:v>22.128630320852004</x:v>
      </x:c>
      <x:c r="L412" s="20" t="n">
        <x:v>24</x:v>
      </x:c>
    </x:row>
    <x:row r="413">
      <x:c r="A413" s="20" t="str">
        <x:v>mlp</x:v>
      </x:c>
      <x:c r="B413" s="20" t="str">
        <x:v>DQ6-TB12-TH12.csv</x:v>
      </x:c>
      <x:c r="C413" s="20" t="n">
        <x:v>3</x:v>
      </x:c>
      <x:c r="D413" s="20" t="str">
        <x:v>ternary</x:v>
      </x:c>
      <x:c r="E413" s="36" t="n">
        <x:v>0.20000000298023224</x:v>
      </x:c>
      <x:c r="F413" s="36" t="n">
        <x:v>0.4000000059604645</x:v>
      </x:c>
      <x:c r="G413" s="36" t="n">
        <x:v>0.4000000059604645</x:v>
      </x:c>
      <x:c r="H413" s="36" t="n">
        <x:v>0.19872197477767864</x:v>
      </x:c>
      <x:c r="I413" s="36" t="n">
        <x:v>0.3066429855922858</x:v>
      </x:c>
      <x:c r="J413" s="36" t="n">
        <x:v>0.494635043044885</x:v>
      </x:c>
      <x:c r="K413" s="23" t="n">
        <x:f>0.5*(ABS(H413-E413)+ABS(I413-F413)+ABS(J413-G413))*100</x:f>
        <x:v>9.463504282757638</x:v>
      </x:c>
      <x:c r="L413" s="20" t="n">
        <x:v>24</x:v>
      </x:c>
    </x:row>
    <x:row r="414">
      <x:c r="A414" s="20" t="str">
        <x:v>mlp</x:v>
      </x:c>
      <x:c r="B414" s="20" t="str">
        <x:v>DQ6-TB6-TH3.csv</x:v>
      </x:c>
      <x:c r="C414" s="20" t="n">
        <x:v>3</x:v>
      </x:c>
      <x:c r="D414" s="20" t="str">
        <x:v>ternary</x:v>
      </x:c>
      <x:c r="E414" s="36" t="n">
        <x:v>0.4000000059604645</x:v>
      </x:c>
      <x:c r="F414" s="36" t="n">
        <x:v>0.4000000059604645</x:v>
      </x:c>
      <x:c r="G414" s="36" t="n">
        <x:v>0.20000000298023224</x:v>
      </x:c>
      <x:c r="H414" s="36" t="n">
        <x:v>0.42687493686874706</x:v>
      </x:c>
      <x:c r="I414" s="36" t="n">
        <x:v>0.2623651089767615</x:v>
      </x:c>
      <x:c r="J414" s="36" t="n">
        <x:v>0.3107599522918463</x:v>
      </x:c>
      <x:c r="K414" s="23" t="n">
        <x:f>0.5*(ABS(H414-E414)+ABS(I414-F414)+ABS(J414-G414))*100</x:f>
        <x:v>13.76348886017998</x:v>
      </x:c>
      <x:c r="L414" s="20" t="n">
        <x:v>24</x:v>
      </x:c>
    </x:row>
    <x:row r="415">
      <x:c r="A415" s="20" t="str">
        <x:v>mlp</x:v>
      </x:c>
      <x:c r="B415" s="20" t="str">
        <x:v>DQ0-TB150-TH50.csv</x:v>
      </x:c>
      <x:c r="C415" s="20" t="n">
        <x:v>4</x:v>
      </x:c>
      <x:c r="D415" s="20" t="str">
        <x:v>binary</x:v>
      </x:c>
      <x:c r="E415" s="36" t="n">
        <x:v>0</x:v>
      </x:c>
      <x:c r="F415" s="36" t="n">
        <x:v>0.75</x:v>
      </x:c>
      <x:c r="G415" s="36" t="n">
        <x:v>0.25</x:v>
      </x:c>
      <x:c r="H415" s="36" t="n">
        <x:v>0.1444869339466095</x:v>
      </x:c>
      <x:c r="I415" s="36" t="n">
        <x:v>0.5861149181922277</x:v>
      </x:c>
      <x:c r="J415" s="36" t="n">
        <x:v>0.26939814661939937</x:v>
      </x:c>
      <x:c r="K415" s="23" t="n">
        <x:f>0.5*(ABS(H415-E415)+ABS(I415-F415)+ABS(J415-G415))*100</x:f>
        <x:v>16.388508118689057</x:v>
      </x:c>
      <x:c r="L415" s="20" t="n">
        <x:v>24</x:v>
      </x:c>
    </x:row>
    <x:row r="416">
      <x:c r="A416" s="20" t="str">
        <x:v>mlp</x:v>
      </x:c>
      <x:c r="B416" s="20" t="str">
        <x:v>DQ0-TB50-TH150.csv</x:v>
      </x:c>
      <x:c r="C416" s="20" t="n">
        <x:v>4</x:v>
      </x:c>
      <x:c r="D416" s="20" t="str">
        <x:v>binary</x:v>
      </x:c>
      <x:c r="E416" s="36" t="n">
        <x:v>0</x:v>
      </x:c>
      <x:c r="F416" s="36" t="n">
        <x:v>0.25</x:v>
      </x:c>
      <x:c r="G416" s="36" t="n">
        <x:v>0.75</x:v>
      </x:c>
      <x:c r="H416" s="36" t="n">
        <x:v>0.16737199559186897</x:v>
      </x:c>
      <x:c r="I416" s="36" t="n">
        <x:v>0.6201312935833508</x:v>
      </x:c>
      <x:c r="J416" s="36" t="n">
        <x:v>0.21249669448783</x:v>
      </x:c>
      <x:c r="K416" s="23" t="n">
        <x:f>0.5*(ABS(H416-E416)+ABS(I416-F416)+ABS(J416-G416))*100</x:f>
        <x:v>53.75032973436949</x:v>
      </x:c>
      <x:c r="L416" s="20" t="n">
        <x:v>24</x:v>
      </x:c>
    </x:row>
    <x:row r="417">
      <x:c r="A417" s="20" t="str">
        <x:v>mlp</x:v>
      </x:c>
      <x:c r="B417" s="20" t="str">
        <x:v>DQ12-TB24-TH12.csv</x:v>
      </x:c>
      <x:c r="C417" s="20" t="n">
        <x:v>4</x:v>
      </x:c>
      <x:c r="D417" s="20" t="str">
        <x:v>ternary</x:v>
      </x:c>
      <x:c r="E417" s="36" t="n">
        <x:v>0.25</x:v>
      </x:c>
      <x:c r="F417" s="36" t="n">
        <x:v>0.5</x:v>
      </x:c>
      <x:c r="G417" s="36" t="n">
        <x:v>0.25</x:v>
      </x:c>
      <x:c r="H417" s="36" t="n">
        <x:v>0.1044153409699599</x:v>
      </x:c>
      <x:c r="I417" s="36" t="n">
        <x:v>0.6863181591033936</x:v>
      </x:c>
      <x:c r="J417" s="36" t="n">
        <x:v>0.20926649402827024</x:v>
      </x:c>
      <x:c r="K417" s="23" t="n">
        <x:f>0.5*(ABS(H417-E417)+ABS(I417-F417)+ABS(J417-G417))*100</x:f>
        <x:v>18.63181620525817</x:v>
      </x:c>
      <x:c r="L417" s="20" t="n">
        <x:v>24</x:v>
      </x:c>
    </x:row>
    <x:row r="418">
      <x:c r="A418" s="20" t="str">
        <x:v>mlp</x:v>
      </x:c>
      <x:c r="B418" s="20" t="str">
        <x:v>DQ12-TB6-TH24.csv</x:v>
      </x:c>
      <x:c r="C418" s="20" t="n">
        <x:v>4</x:v>
      </x:c>
      <x:c r="D418" s="20" t="str">
        <x:v>ternary</x:v>
      </x:c>
      <x:c r="E418" s="36" t="n">
        <x:v>0.2857142984867096</x:v>
      </x:c>
      <x:c r="F418" s="36" t="n">
        <x:v>0.1428571492433548</x:v>
      </x:c>
      <x:c r="G418" s="36" t="n">
        <x:v>0.5714285969734192</x:v>
      </x:c>
      <x:c r="H418" s="36" t="n">
        <x:v>0.4255814850330353</x:v>
      </x:c>
      <x:c r="I418" s="36" t="n">
        <x:v>0.18441348740210137</x:v>
      </x:c>
      <x:c r="J418" s="36" t="n">
        <x:v>0.3900050260126591</x:v>
      </x:c>
      <x:c r="K418" s="23" t="n">
        <x:f>0.5*(ABS(H418-E418)+ABS(I418-F418)+ABS(J418-G418))*100</x:f>
        <x:v>18.14235478329162</x:v>
      </x:c>
      <x:c r="L418" s="20" t="n">
        <x:v>24</x:v>
      </x:c>
    </x:row>
    <x:row r="419">
      <x:c r="A419" s="20" t="str">
        <x:v>mlp</x:v>
      </x:c>
      <x:c r="B419" s="20" t="str">
        <x:v>DQ24-TB3-TH12.csv</x:v>
      </x:c>
      <x:c r="C419" s="20" t="n">
        <x:v>4</x:v>
      </x:c>
      <x:c r="D419" s="20" t="str">
        <x:v>ternary</x:v>
      </x:c>
      <x:c r="E419" s="36" t="n">
        <x:v>0.6153846383094788</x:v>
      </x:c>
      <x:c r="F419" s="36" t="n">
        <x:v>0.07692307978868484</x:v>
      </x:c>
      <x:c r="G419" s="36" t="n">
        <x:v>0.3076923191547394</x:v>
      </x:c>
      <x:c r="H419" s="36" t="n">
        <x:v>0.39673882458979887</x:v>
      </x:c>
      <x:c r="I419" s="36" t="n">
        <x:v>0.14327935695958635</x:v>
      </x:c>
      <x:c r="J419" s="36" t="n">
        <x:v>0.4599818189938863</x:v>
      </x:c>
      <x:c r="K419" s="23" t="n">
        <x:f>0.5*(ABS(H419-E419)+ABS(I419-F419)+ABS(J419-G419))*100</x:f>
        <x:v>21.864579536486414</x:v>
      </x:c>
      <x:c r="L419" s="20" t="n">
        <x:v>24</x:v>
      </x:c>
    </x:row>
    <x:row r="420">
      <x:c r="A420" s="20" t="str">
        <x:v>mlp</x:v>
      </x:c>
      <x:c r="B420" s="20" t="str">
        <x:v>DQ24-TB3-TH3.csv</x:v>
      </x:c>
      <x:c r="C420" s="20" t="n">
        <x:v>4</x:v>
      </x:c>
      <x:c r="D420" s="20" t="str">
        <x:v>ternary</x:v>
      </x:c>
      <x:c r="E420" s="36" t="n">
        <x:v>0.800000011920929</x:v>
      </x:c>
      <x:c r="F420" s="36" t="n">
        <x:v>0.10000000149011612</x:v>
      </x:c>
      <x:c r="G420" s="36" t="n">
        <x:v>0.10000000149011612</x:v>
      </x:c>
      <x:c r="H420" s="36" t="n">
        <x:v>0.6008317607144514</x:v>
      </x:c>
      <x:c r="I420" s="36" t="n">
        <x:v>0.28271243534982204</x:v>
      </x:c>
      <x:c r="J420" s="36" t="n">
        <x:v>0.11645580502226949</x:v>
      </x:c>
      <x:c r="K420" s="23" t="n">
        <x:f>0.5*(ABS(H420-E420)+ABS(I420-F420)+ABS(J420-G420))*100</x:f>
        <x:v>19.91682442991684</x:v>
      </x:c>
      <x:c r="L420" s="20" t="n">
        <x:v>24</x:v>
      </x:c>
    </x:row>
    <x:row r="421">
      <x:c r="A421" s="20" t="str">
        <x:v>mlp</x:v>
      </x:c>
      <x:c r="B421" s="20" t="str">
        <x:v>DQ24-TB3-TH6.csv</x:v>
      </x:c>
      <x:c r="C421" s="20" t="n">
        <x:v>4</x:v>
      </x:c>
      <x:c r="D421" s="20" t="str">
        <x:v>ternary</x:v>
      </x:c>
      <x:c r="E421" s="36" t="n">
        <x:v>0.7272727489471436</x:v>
      </x:c>
      <x:c r="F421" s="36" t="n">
        <x:v>0.09090909361839294</x:v>
      </x:c>
      <x:c r="G421" s="36" t="n">
        <x:v>0.1818181872367859</x:v>
      </x:c>
      <x:c r="H421" s="36" t="n">
        <x:v>0.5840852397183577</x:v>
      </x:c>
      <x:c r="I421" s="36" t="n">
        <x:v>0.20569055154919624</x:v>
      </x:c>
      <x:c r="J421" s="36" t="n">
        <x:v>0.2102242180456718</x:v>
      </x:c>
      <x:c r="K421" s="23" t="n">
        <x:f>0.5*(ABS(H421-E421)+ABS(I421-F421)+ABS(J421-G421))*100</x:f>
        <x:v>14.318749898423755</x:v>
      </x:c>
      <x:c r="L421" s="20" t="n">
        <x:v>24</x:v>
      </x:c>
    </x:row>
    <x:row r="422">
      <x:c r="A422" s="20" t="str">
        <x:v>mlp</x:v>
      </x:c>
      <x:c r="B422" s="20" t="str">
        <x:v>DQ24-TB6-TH3.csv</x:v>
      </x:c>
      <x:c r="C422" s="20" t="n">
        <x:v>4</x:v>
      </x:c>
      <x:c r="D422" s="20" t="str">
        <x:v>ternary</x:v>
      </x:c>
      <x:c r="E422" s="36" t="n">
        <x:v>0.7272727489471436</x:v>
      </x:c>
      <x:c r="F422" s="36" t="n">
        <x:v>0.1818181872367859</x:v>
      </x:c>
      <x:c r="G422" s="36" t="n">
        <x:v>0.09090909361839294</x:v>
      </x:c>
      <x:c r="H422" s="36" t="n">
        <x:v>0.5881399648884932</x:v>
      </x:c>
      <x:c r="I422" s="36" t="n">
        <x:v>0.3003422264009714</x:v>
      </x:c>
      <x:c r="J422" s="36" t="n">
        <x:v>0.11151781165972352</x:v>
      </x:c>
      <x:c r="K422" s="23" t="n">
        <x:f>0.5*(ABS(H422-E422)+ABS(I422-F422)+ABS(J422-G422))*100</x:f>
        <x:v>13.913277063208323</x:v>
      </x:c>
      <x:c r="L422" s="20" t="n">
        <x:v>24</x:v>
      </x:c>
    </x:row>
    <x:row r="423">
      <x:c r="A423" s="20" t="str">
        <x:v>mlp</x:v>
      </x:c>
      <x:c r="B423" s="20" t="str">
        <x:v>DQ3-TB12-TH6.csv</x:v>
      </x:c>
      <x:c r="C423" s="20" t="n">
        <x:v>4</x:v>
      </x:c>
      <x:c r="D423" s="20" t="str">
        <x:v>ternary</x:v>
      </x:c>
      <x:c r="E423" s="36" t="n">
        <x:v>0.1428571492433548</x:v>
      </x:c>
      <x:c r="F423" s="36" t="n">
        <x:v>0.5714285969734192</x:v>
      </x:c>
      <x:c r="G423" s="36" t="n">
        <x:v>0.2857142984867096</x:v>
      </x:c>
      <x:c r="H423" s="36" t="n">
        <x:v>0.3032943544288476</x:v>
      </x:c>
      <x:c r="I423" s="36" t="n">
        <x:v>0.3610508007307847</x:v>
      </x:c>
      <x:c r="J423" s="36" t="n">
        <x:v>0.33565486657122773</x:v>
      </x:c>
      <x:c r="K423" s="23" t="n">
        <x:f>0.5*(ABS(H423-E423)+ABS(I423-F423)+ABS(J423-G423))*100</x:f>
        <x:v>21.037778475632273</x:v>
      </x:c>
      <x:c r="L423" s="20" t="n">
        <x:v>24</x:v>
      </x:c>
    </x:row>
    <x:row r="424">
      <x:c r="A424" s="20" t="str">
        <x:v>mlp</x:v>
      </x:c>
      <x:c r="B424" s="20" t="str">
        <x:v>DQ3-TB24-TH12.csv</x:v>
      </x:c>
      <x:c r="C424" s="20" t="n">
        <x:v>4</x:v>
      </x:c>
      <x:c r="D424" s="20" t="str">
        <x:v>ternary</x:v>
      </x:c>
      <x:c r="E424" s="36" t="n">
        <x:v>0.07692307978868484</x:v>
      </x:c>
      <x:c r="F424" s="36" t="n">
        <x:v>0.6153846383094788</x:v>
      </x:c>
      <x:c r="G424" s="36" t="n">
        <x:v>0.3076923191547394</x:v>
      </x:c>
      <x:c r="H424" s="36" t="n">
        <x:v>0.13858571633075675</x:v>
      </x:c>
      <x:c r="I424" s="36" t="n">
        <x:v>0.6759615292151769</x:v>
      </x:c>
      <x:c r="J424" s="36" t="n">
        <x:v>0.18545274809002876</x:v>
      </x:c>
      <x:c r="K424" s="23" t="n">
        <x:f>0.5*(ABS(H424-E424)+ABS(I424-F424)+ABS(J424-G424))*100</x:f>
        <x:v>12.223954925624035</x:v>
      </x:c>
      <x:c r="L424" s="20" t="n">
        <x:v>24</x:v>
      </x:c>
    </x:row>
    <x:row r="425">
      <x:c r="A425" s="20" t="str">
        <x:v>mlp</x:v>
      </x:c>
      <x:c r="B425" s="20" t="str">
        <x:v>DQ3-TB6-TH12.csv</x:v>
      </x:c>
      <x:c r="C425" s="20" t="n">
        <x:v>4</x:v>
      </x:c>
      <x:c r="D425" s="20" t="str">
        <x:v>ternary</x:v>
      </x:c>
      <x:c r="E425" s="36" t="n">
        <x:v>0.1428571492433548</x:v>
      </x:c>
      <x:c r="F425" s="36" t="n">
        <x:v>0.2857142984867096</x:v>
      </x:c>
      <x:c r="G425" s="36" t="n">
        <x:v>0.5714285969734192</x:v>
      </x:c>
      <x:c r="H425" s="36" t="n">
        <x:v>0.24043410395582518</x:v>
      </x:c>
      <x:c r="I425" s="36" t="n">
        <x:v>0.2556821381052335</x:v>
      </x:c>
      <x:c r="J425" s="36" t="n">
        <x:v>0.5038837579389414</x:v>
      </x:c>
      <x:c r="K425" s="23" t="n">
        <x:f>0.5*(ABS(H425-E425)+ABS(I425-F425)+ABS(J425-G425))*100</x:f>
        <x:v>9.757697706421215</x:v>
      </x:c>
      <x:c r="L425" s="20" t="n">
        <x:v>24</x:v>
      </x:c>
    </x:row>
    <x:row r="426">
      <x:c r="A426" s="20" t="str">
        <x:v>mlp</x:v>
      </x:c>
      <x:c r="B426" s="20" t="str">
        <x:v>DQ3-TB6-TH24.csv</x:v>
      </x:c>
      <x:c r="C426" s="20" t="n">
        <x:v>4</x:v>
      </x:c>
      <x:c r="D426" s="20" t="str">
        <x:v>ternary</x:v>
      </x:c>
      <x:c r="E426" s="36" t="n">
        <x:v>0.09090909361839294</x:v>
      </x:c>
      <x:c r="F426" s="36" t="n">
        <x:v>0.1818181872367859</x:v>
      </x:c>
      <x:c r="G426" s="36" t="n">
        <x:v>0.7272727489471436</x:v>
      </x:c>
      <x:c r="H426" s="36" t="n">
        <x:v>0.30488134113450843</x:v>
      </x:c>
      <x:c r="I426" s="36" t="n">
        <x:v>0.196675520700713</x:v>
      </x:c>
      <x:c r="J426" s="36" t="n">
        <x:v>0.4984431304037571</x:v>
      </x:c>
      <x:c r="K426" s="23" t="n">
        <x:f>0.5*(ABS(H426-E426)+ABS(I426-F426)+ABS(J426-G426))*100</x:f>
        <x:v>22.882959976171453</x:v>
      </x:c>
      <x:c r="L426" s="20" t="n">
        <x:v>24</x:v>
      </x:c>
    </x:row>
    <x:row r="427">
      <x:c r="A427" s="20" t="str">
        <x:v>mlp</x:v>
      </x:c>
      <x:c r="B427" s="20" t="str">
        <x:v>DQ3-TB6-TH3.csv</x:v>
      </x:c>
      <x:c r="C427" s="20" t="n">
        <x:v>4</x:v>
      </x:c>
      <x:c r="D427" s="20" t="str">
        <x:v>ternary</x:v>
      </x:c>
      <x:c r="E427" s="36" t="n">
        <x:v>0.25</x:v>
      </x:c>
      <x:c r="F427" s="36" t="n">
        <x:v>0.5</x:v>
      </x:c>
      <x:c r="G427" s="36" t="n">
        <x:v>0.25</x:v>
      </x:c>
      <x:c r="H427" s="36" t="n">
        <x:v>0.2988871696094672</x:v>
      </x:c>
      <x:c r="I427" s="36" t="n">
        <x:v>0.41079000135262805</x:v>
      </x:c>
      <x:c r="J427" s="36" t="n">
        <x:v>0.29032282158732414</x:v>
      </x:c>
      <x:c r="K427" s="23" t="n">
        <x:f>0.5*(ABS(H427-E427)+ABS(I427-F427)+ABS(J427-G427))*100</x:f>
        <x:v>8.920999492208164</x:v>
      </x:c>
      <x:c r="L427" s="20" t="n">
        <x:v>24</x:v>
      </x:c>
    </x:row>
    <x:row r="428">
      <x:c r="A428" s="20" t="str">
        <x:v>mlp</x:v>
      </x:c>
      <x:c r="B428" s="20" t="str">
        <x:v>DQ33-TB333-TH333.csv</x:v>
      </x:c>
      <x:c r="C428" s="20" t="n">
        <x:v>4</x:v>
      </x:c>
      <x:c r="D428" s="20" t="str">
        <x:v>ternary</x:v>
      </x:c>
      <x:c r="E428" s="36" t="n">
        <x:v>0.04721030220389366</x:v>
      </x:c>
      <x:c r="F428" s="36" t="n">
        <x:v>0.4763948619365692</x:v>
      </x:c>
      <x:c r="G428" s="36" t="n">
        <x:v>0.4763948619365692</x:v>
      </x:c>
      <x:c r="H428" s="36" t="n">
        <x:v>0.05688830364185075</x:v>
      </x:c>
      <x:c r="I428" s="36" t="n">
        <x:v>0.02301504368854997</x:v>
      </x:c>
      <x:c r="J428" s="36" t="n">
        <x:v>0.9200966581702232</x:v>
      </x:c>
      <x:c r="K428" s="23" t="n">
        <x:f>0.5*(ABS(H428-E428)+ABS(I428-F428)+ABS(J428-G428))*100</x:f>
        <x:v>45.33798079598152</x:v>
      </x:c>
      <x:c r="L428" s="20" t="n">
        <x:v>24</x:v>
      </x:c>
    </x:row>
    <x:row r="429">
      <x:c r="A429" s="20" t="str">
        <x:v>mlp</x:v>
      </x:c>
      <x:c r="B429" s="20" t="str">
        <x:v>DQ6-TB12-TH24.csv</x:v>
      </x:c>
      <x:c r="C429" s="20" t="n">
        <x:v>4</x:v>
      </x:c>
      <x:c r="D429" s="20" t="str">
        <x:v>ternary</x:v>
      </x:c>
      <x:c r="E429" s="36" t="n">
        <x:v>0.1428571492433548</x:v>
      </x:c>
      <x:c r="F429" s="36" t="n">
        <x:v>0.2857142984867096</x:v>
      </x:c>
      <x:c r="G429" s="36" t="n">
        <x:v>0.5714285969734192</x:v>
      </x:c>
      <x:c r="H429" s="36" t="n">
        <x:v>0.1639385192344586</x:v>
      </x:c>
      <x:c r="I429" s="36" t="n">
        <x:v>0.2816816382110119</x:v>
      </x:c>
      <x:c r="J429" s="36" t="n">
        <x:v>0.5543798295160135</x:v>
      </x:c>
      <x:c r="K429" s="23" t="n">
        <x:f>0.5*(ABS(H429-E429)+ABS(I429-F429)+ABS(J429-G429))*100</x:f>
        <x:v>2.1081398862103597</x:v>
      </x:c>
      <x:c r="L429" s="20" t="n">
        <x:v>24</x:v>
      </x:c>
    </x:row>
    <x:row r="430">
      <x:c r="A430" s="20" t="str">
        <x:v>mlp</x:v>
      </x:c>
      <x:c r="B430" s="20" t="str">
        <x:v>DQ6-TB12-TH6.csv</x:v>
      </x:c>
      <x:c r="C430" s="20" t="n">
        <x:v>4</x:v>
      </x:c>
      <x:c r="D430" s="20" t="str">
        <x:v>ternary</x:v>
      </x:c>
      <x:c r="E430" s="36" t="n">
        <x:v>0.25</x:v>
      </x:c>
      <x:c r="F430" s="36" t="n">
        <x:v>0.5</x:v>
      </x:c>
      <x:c r="G430" s="36" t="n">
        <x:v>0.25</x:v>
      </x:c>
      <x:c r="H430" s="36" t="n">
        <x:v>0.3531532343477011</x:v>
      </x:c>
      <x:c r="I430" s="36" t="n">
        <x:v>0.3825678154826164</x:v>
      </x:c>
      <x:c r="J430" s="36" t="n">
        <x:v>0.2642789501696825</x:v>
      </x:c>
      <x:c r="K430" s="23" t="n">
        <x:f>0.5*(ABS(H430-E430)+ABS(I430-F430)+ABS(J430-G430))*100</x:f>
        <x:v>11.743218451738358</x:v>
      </x:c>
      <x:c r="L430" s="20" t="n">
        <x:v>24</x:v>
      </x:c>
    </x:row>
    <x:row r="431">
      <x:c r="A431" s="20" t="str">
        <x:v>mlp</x:v>
      </x:c>
      <x:c r="B431" s="20" t="str">
        <x:v>DQ6-TB24-TH12.csv</x:v>
      </x:c>
      <x:c r="C431" s="20" t="n">
        <x:v>4</x:v>
      </x:c>
      <x:c r="D431" s="20" t="str">
        <x:v>ternary</x:v>
      </x:c>
      <x:c r="E431" s="36" t="n">
        <x:v>0.1428571492433548</x:v>
      </x:c>
      <x:c r="F431" s="36" t="n">
        <x:v>0.5714285969734192</x:v>
      </x:c>
      <x:c r="G431" s="36" t="n">
        <x:v>0.2857142984867096</x:v>
      </x:c>
      <x:c r="H431" s="36" t="n">
        <x:v>0.19542028196156025</x:v>
      </x:c>
      <x:c r="I431" s="36" t="n">
        <x:v>0.5344491402308146</x:v>
      </x:c>
      <x:c r="J431" s="36" t="n">
        <x:v>0.27013056725263596</x:v>
      </x:c>
      <x:c r="K431" s="23" t="n">
        <x:f>0.5*(ABS(H431-E431)+ABS(I431-F431)+ABS(J431-G431))*100</x:f>
        <x:v>5.256316034744185</x:v>
      </x:c>
      <x:c r="L431" s="20" t="n">
        <x:v>24</x:v>
      </x:c>
    </x:row>
    <x:row r="432">
      <x:c r="A432" s="20" t="str">
        <x:v>mlp</x:v>
      </x:c>
      <x:c r="B432" s="20" t="str">
        <x:v>DQ6-TB3-TH12.csv</x:v>
      </x:c>
      <x:c r="C432" s="20" t="n">
        <x:v>4</x:v>
      </x:c>
      <x:c r="D432" s="20" t="str">
        <x:v>ternary</x:v>
      </x:c>
      <x:c r="E432" s="36" t="n">
        <x:v>0.2857142984867096</x:v>
      </x:c>
      <x:c r="F432" s="36" t="n">
        <x:v>0.1428571492433548</x:v>
      </x:c>
      <x:c r="G432" s="36" t="n">
        <x:v>0.5714285969734192</x:v>
      </x:c>
      <x:c r="H432" s="36" t="n">
        <x:v>0.29910543498893577</x:v>
      </x:c>
      <x:c r="I432" s="36" t="n">
        <x:v>0.26679737990101177</x:v>
      </x:c>
      <x:c r="J432" s="36" t="n">
        <x:v>0.4340971764177084</x:v>
      </x:c>
      <x:c r="K432" s="23" t="n">
        <x:f>0.5*(ABS(H432-E432)+ABS(I432-F432)+ABS(J432-G432))*100</x:f>
        <x:v>13.733139385779698</x:v>
      </x:c>
      <x:c r="L432" s="20" t="n">
        <x:v>24</x:v>
      </x:c>
    </x:row>
    <x:row r="433">
      <x:c r="A433" s="20" t="str">
        <x:v>mlp</x:v>
      </x:c>
      <x:c r="B433" s="20" t="str">
        <x:v>DQ12-TB12-TH3.csv</x:v>
      </x:c>
      <x:c r="C433" s="20" t="n">
        <x:v>5</x:v>
      </x:c>
      <x:c r="D433" s="20" t="str">
        <x:v>ternary</x:v>
      </x:c>
      <x:c r="E433" s="36" t="n">
        <x:v>0.4444444477558136</x:v>
      </x:c>
      <x:c r="F433" s="36" t="n">
        <x:v>0.4444444477558136</x:v>
      </x:c>
      <x:c r="G433" s="36" t="n">
        <x:v>0.1111111119389534</x:v>
      </x:c>
      <x:c r="H433" s="36" t="n">
        <x:v>0.5160722211003304</x:v>
      </x:c>
      <x:c r="I433" s="36" t="n">
        <x:v>0.32867702655494213</x:v>
      </x:c>
      <x:c r="J433" s="36" t="n">
        <x:v>0.1552507497059802</x:v>
      </x:c>
      <x:c r="K433" s="23" t="n">
        <x:f>0.5*(ABS(H433-E433)+ABS(I433-F433)+ABS(J433-G433))*100</x:f>
        <x:v>11.576741615620751</x:v>
      </x:c>
      <x:c r="L433" s="20" t="n">
        <x:v>24</x:v>
      </x:c>
    </x:row>
    <x:row r="434">
      <x:c r="A434" s="20" t="str">
        <x:v>mlp</x:v>
      </x:c>
      <x:c r="B434" s="20" t="str">
        <x:v>DQ12-TB3-TH6.csv</x:v>
      </x:c>
      <x:c r="C434" s="20" t="n">
        <x:v>5</x:v>
      </x:c>
      <x:c r="D434" s="20" t="str">
        <x:v>ternary</x:v>
      </x:c>
      <x:c r="E434" s="36" t="n">
        <x:v>0.5714285969734192</x:v>
      </x:c>
      <x:c r="F434" s="36" t="n">
        <x:v>0.1428571492433548</x:v>
      </x:c>
      <x:c r="G434" s="36" t="n">
        <x:v>0.2857142984867096</x:v>
      </x:c>
      <x:c r="H434" s="36" t="n">
        <x:v>0.47835397223631543</x:v>
      </x:c>
      <x:c r="I434" s="36" t="n">
        <x:v>0.2792268705864747</x:v>
      </x:c>
      <x:c r="J434" s="36" t="n">
        <x:v>0.24241914382825294</x:v>
      </x:c>
      <x:c r="K434" s="23" t="n">
        <x:f>0.5*(ABS(H434-E434)+ABS(I434-F434)+ABS(J434-G434))*100</x:f>
        <x:v>13.636975036934018</x:v>
      </x:c>
      <x:c r="L434" s="20" t="n">
        <x:v>24</x:v>
      </x:c>
    </x:row>
    <x:row r="435">
      <x:c r="A435" s="20" t="str">
        <x:v>mlp</x:v>
      </x:c>
      <x:c r="B435" s="20" t="str">
        <x:v>DQ12-TB6-TH12.csv</x:v>
      </x:c>
      <x:c r="C435" s="20" t="n">
        <x:v>5</x:v>
      </x:c>
      <x:c r="D435" s="20" t="str">
        <x:v>ternary</x:v>
      </x:c>
      <x:c r="E435" s="36" t="n">
        <x:v>0.4000000059604645</x:v>
      </x:c>
      <x:c r="F435" s="36" t="n">
        <x:v>0.20000000298023224</x:v>
      </x:c>
      <x:c r="G435" s="36" t="n">
        <x:v>0.4000000059604645</x:v>
      </x:c>
      <x:c r="H435" s="36" t="n">
        <x:v>0.39322662229339284</x:v>
      </x:c>
      <x:c r="I435" s="36" t="n">
        <x:v>0.28435762133449316</x:v>
      </x:c>
      <x:c r="J435" s="36" t="n">
        <x:v>0.32241575544079143</x:v>
      </x:c>
      <x:c r="K435" s="23" t="n">
        <x:f>0.5*(ABS(H435-E435)+ABS(I435-F435)+ABS(J435-G435))*100</x:f>
        <x:v>8.43576262705028</x:v>
      </x:c>
      <x:c r="L435" s="20" t="n">
        <x:v>24</x:v>
      </x:c>
    </x:row>
    <x:row r="436">
      <x:c r="A436" s="20" t="str">
        <x:v>mlp</x:v>
      </x:c>
      <x:c r="B436" s="20" t="str">
        <x:v>DQ150-TB0-TH50.csv</x:v>
      </x:c>
      <x:c r="C436" s="20" t="n">
        <x:v>5</x:v>
      </x:c>
      <x:c r="D436" s="20" t="str">
        <x:v>binary</x:v>
      </x:c>
      <x:c r="E436" s="36" t="n">
        <x:v>0.75</x:v>
      </x:c>
      <x:c r="F436" s="36" t="n">
        <x:v>0</x:v>
      </x:c>
      <x:c r="G436" s="36" t="n">
        <x:v>0.25</x:v>
      </x:c>
      <x:c r="H436" s="36" t="n">
        <x:v>0.5190987665361414</x:v>
      </x:c>
      <x:c r="I436" s="36" t="n">
        <x:v>0.05652393028140068</x:v>
      </x:c>
      <x:c r="J436" s="36" t="n">
        <x:v>0.42437730776146054</x:v>
      </x:c>
      <x:c r="K436" s="23" t="n">
        <x:f>0.5*(ABS(H436-E436)+ABS(I436-F436)+ABS(J436-G436))*100</x:f>
        <x:v>23.09012357533599</x:v>
      </x:c>
      <x:c r="L436" s="20" t="n">
        <x:v>24</x:v>
      </x:c>
    </x:row>
    <x:row r="437">
      <x:c r="A437" s="20" t="str">
        <x:v>mlp</x:v>
      </x:c>
      <x:c r="B437" s="20" t="str">
        <x:v>DQ24-TB12-TH24.csv</x:v>
      </x:c>
      <x:c r="C437" s="20" t="n">
        <x:v>5</x:v>
      </x:c>
      <x:c r="D437" s="20" t="str">
        <x:v>ternary</x:v>
      </x:c>
      <x:c r="E437" s="36" t="n">
        <x:v>0.4000000059604645</x:v>
      </x:c>
      <x:c r="F437" s="36" t="n">
        <x:v>0.20000000298023224</x:v>
      </x:c>
      <x:c r="G437" s="36" t="n">
        <x:v>0.4000000059604645</x:v>
      </x:c>
      <x:c r="H437" s="36" t="n">
        <x:v>0.3158253512034814</x:v>
      </x:c>
      <x:c r="I437" s="36" t="n">
        <x:v>0.09839902616416414</x:v>
      </x:c>
      <x:c r="J437" s="36" t="n">
        <x:v>0.5857756175100803</x:v>
      </x:c>
      <x:c r="K437" s="23" t="n">
        <x:f>0.5*(ABS(H437-E437)+ABS(I437-F437)+ABS(J437-G437))*100</x:f>
        <x:v>18.577562156133354</x:v>
      </x:c>
      <x:c r="L437" s="20" t="n">
        <x:v>24</x:v>
      </x:c>
    </x:row>
    <x:row r="438">
      <x:c r="A438" s="20" t="str">
        <x:v>mlp</x:v>
      </x:c>
      <x:c r="B438" s="20" t="str">
        <x:v>DQ24-TB24-TH6.csv</x:v>
      </x:c>
      <x:c r="C438" s="20" t="n">
        <x:v>5</x:v>
      </x:c>
      <x:c r="D438" s="20" t="str">
        <x:v>ternary</x:v>
      </x:c>
      <x:c r="E438" s="36" t="n">
        <x:v>0.4444444477558136</x:v>
      </x:c>
      <x:c r="F438" s="36" t="n">
        <x:v>0.4444444477558136</x:v>
      </x:c>
      <x:c r="G438" s="36" t="n">
        <x:v>0.1111111119389534</x:v>
      </x:c>
      <x:c r="H438" s="36" t="n">
        <x:v>0.4436254631727934</x:v>
      </x:c>
      <x:c r="I438" s="36" t="n">
        <x:v>0.3484516615668933</x:v>
      </x:c>
      <x:c r="J438" s="36" t="n">
        <x:v>0.2079228808482488</x:v>
      </x:c>
      <x:c r="K438" s="23" t="n">
        <x:f>0.5*(ABS(H438-E438)+ABS(I438-F438)+ABS(J438-G438))*100</x:f>
        <x:v>9.681176984061796</x:v>
      </x:c>
      <x:c r="L438" s="20" t="n">
        <x:v>24</x:v>
      </x:c>
    </x:row>
    <x:row r="439">
      <x:c r="A439" s="20" t="str">
        <x:v>mlp</x:v>
      </x:c>
      <x:c r="B439" s="20" t="str">
        <x:v>DQ24-TB3-TH24.csv</x:v>
      </x:c>
      <x:c r="C439" s="20" t="n">
        <x:v>5</x:v>
      </x:c>
      <x:c r="D439" s="20" t="str">
        <x:v>ternary</x:v>
      </x:c>
      <x:c r="E439" s="36" t="n">
        <x:v>0.47058823704719543</x:v>
      </x:c>
      <x:c r="F439" s="36" t="n">
        <x:v>0.05882352963089943</x:v>
      </x:c>
      <x:c r="G439" s="36" t="n">
        <x:v>0.47058823704719543</x:v>
      </x:c>
      <x:c r="H439" s="36" t="n">
        <x:v>0.16685185115784407</x:v>
      </x:c>
      <x:c r="I439" s="36" t="n">
        <x:v>0.10037568661694725</x:v>
      </x:c>
      <x:c r="J439" s="36" t="n">
        <x:v>0.7327724608282248</x:v>
      </x:c>
      <x:c r="K439" s="23" t="n">
        <x:f>0.5*(ABS(H439-E439)+ABS(I439-F439)+ABS(J439-G439))*100</x:f>
        <x:v>30.37363833282143</x:v>
      </x:c>
      <x:c r="L439" s="20" t="n">
        <x:v>24</x:v>
      </x:c>
    </x:row>
    <x:row r="440">
      <x:c r="A440" s="20" t="str">
        <x:v>mlp</x:v>
      </x:c>
      <x:c r="B440" s="20" t="str">
        <x:v>DQ24-TB6-TH12.csv</x:v>
      </x:c>
      <x:c r="C440" s="20" t="n">
        <x:v>5</x:v>
      </x:c>
      <x:c r="D440" s="20" t="str">
        <x:v>ternary</x:v>
      </x:c>
      <x:c r="E440" s="36" t="n">
        <x:v>0.5714285969734192</x:v>
      </x:c>
      <x:c r="F440" s="36" t="n">
        <x:v>0.1428571492433548</x:v>
      </x:c>
      <x:c r="G440" s="36" t="n">
        <x:v>0.2857142984867096</x:v>
      </x:c>
      <x:c r="H440" s="36" t="n">
        <x:v>0.5769916499654452</x:v>
      </x:c>
      <x:c r="I440" s="36" t="n">
        <x:v>0.15912500334282717</x:v>
      </x:c>
      <x:c r="J440" s="36" t="n">
        <x:v>0.2638833364471793</x:v>
      </x:c>
      <x:c r="K440" s="23" t="n">
        <x:f>0.5*(ABS(H440-E440)+ABS(I440-F440)+ABS(J440-G440))*100</x:f>
        <x:v>2.1830934565514313</x:v>
      </x:c>
      <x:c r="L440" s="20" t="n">
        <x:v>24</x:v>
      </x:c>
    </x:row>
    <x:row r="441">
      <x:c r="A441" s="20" t="str">
        <x:v>mlp</x:v>
      </x:c>
      <x:c r="B441" s="20" t="str">
        <x:v>DQ3-TB24-TH24.csv</x:v>
      </x:c>
      <x:c r="C441" s="20" t="n">
        <x:v>5</x:v>
      </x:c>
      <x:c r="D441" s="20" t="str">
        <x:v>ternary</x:v>
      </x:c>
      <x:c r="E441" s="36" t="n">
        <x:v>0.05882352963089943</x:v>
      </x:c>
      <x:c r="F441" s="36" t="n">
        <x:v>0.47058823704719543</x:v>
      </x:c>
      <x:c r="G441" s="36" t="n">
        <x:v>0.47058823704719543</x:v>
      </x:c>
      <x:c r="H441" s="36" t="n">
        <x:v>0.10337390998999278</x:v>
      </x:c>
      <x:c r="I441" s="36" t="n">
        <x:v>0.22642007439086834</x:v>
      </x:c>
      <x:c r="J441" s="36" t="n">
        <x:v>0.6702060252428055</x:v>
      </x:c>
      <x:c r="K441" s="23" t="n">
        <x:f>0.5*(ABS(H441-E441)+ABS(I441-F441)+ABS(J441-G441))*100</x:f>
        <x:v>24.416816560551524</x:v>
      </x:c>
      <x:c r="L441" s="20" t="n">
        <x:v>24</x:v>
      </x:c>
    </x:row>
    <x:row r="442">
      <x:c r="A442" s="20" t="str">
        <x:v>mlp</x:v>
      </x:c>
      <x:c r="B442" s="20" t="str">
        <x:v>DQ3-TB24-TH6.csv</x:v>
      </x:c>
      <x:c r="C442" s="20" t="n">
        <x:v>5</x:v>
      </x:c>
      <x:c r="D442" s="20" t="str">
        <x:v>ternary</x:v>
      </x:c>
      <x:c r="E442" s="36" t="n">
        <x:v>0.09090909361839294</x:v>
      </x:c>
      <x:c r="F442" s="36" t="n">
        <x:v>0.7272727489471436</x:v>
      </x:c>
      <x:c r="G442" s="36" t="n">
        <x:v>0.1818181872367859</x:v>
      </x:c>
      <x:c r="H442" s="36" t="n">
        <x:v>0.1475623737399777</x:v>
      </x:c>
      <x:c r="I442" s="36" t="n">
        <x:v>0.6294964154561361</x:v>
      </x:c>
      <x:c r="J442" s="36" t="n">
        <x:v>0.22294120956212282</x:v>
      </x:c>
      <x:c r="K442" s="23" t="n">
        <x:f>0.5*(ABS(H442-E442)+ABS(I442-F442)+ABS(J442-G442))*100</x:f>
        <x:v>9.777631796896456</x:v>
      </x:c>
      <x:c r="L442" s="20" t="n">
        <x:v>24</x:v>
      </x:c>
    </x:row>
    <x:row r="443">
      <x:c r="A443" s="20" t="str">
        <x:v>mlp</x:v>
      </x:c>
      <x:c r="B443" s="20" t="str">
        <x:v>DQ3-TB3-TH12.csv</x:v>
      </x:c>
      <x:c r="C443" s="20" t="n">
        <x:v>5</x:v>
      </x:c>
      <x:c r="D443" s="20" t="str">
        <x:v>ternary</x:v>
      </x:c>
      <x:c r="E443" s="36" t="n">
        <x:v>0.1666666716337204</x:v>
      </x:c>
      <x:c r="F443" s="36" t="n">
        <x:v>0.1666666716337204</x:v>
      </x:c>
      <x:c r="G443" s="36" t="n">
        <x:v>0.6666666865348816</x:v>
      </x:c>
      <x:c r="H443" s="36" t="n">
        <x:v>0.21208437718451023</x:v>
      </x:c>
      <x:c r="I443" s="36" t="n">
        <x:v>0.10913501307368279</x:v>
      </x:c>
      <x:c r="J443" s="36" t="n">
        <x:v>0.6787805929780006</x:v>
      </x:c>
      <x:c r="K443" s="23" t="n">
        <x:f>0.5*(ABS(H443-E443)+ABS(I443-F443)+ABS(J443-G443))*100</x:f>
        <x:v>5.753163527697325</x:v>
      </x:c>
      <x:c r="L443" s="20" t="n">
        <x:v>24</x:v>
      </x:c>
    </x:row>
    <x:row r="444">
      <x:c r="A444" s="20" t="str">
        <x:v>mlp</x:v>
      </x:c>
      <x:c r="B444" s="20" t="str">
        <x:v>DQ333-TB33-TH333.csv</x:v>
      </x:c>
      <x:c r="C444" s="20" t="n">
        <x:v>5</x:v>
      </x:c>
      <x:c r="D444" s="20" t="str">
        <x:v>ternary</x:v>
      </x:c>
      <x:c r="E444" s="36" t="n">
        <x:v>0.4763948619365692</x:v>
      </x:c>
      <x:c r="F444" s="36" t="n">
        <x:v>0.04721030220389366</x:v>
      </x:c>
      <x:c r="G444" s="36" t="n">
        <x:v>0.4763948619365692</x:v>
      </x:c>
      <x:c r="H444" s="36" t="n">
        <x:v>0.0179271837308382</x:v>
      </x:c>
      <x:c r="I444" s="36" t="n">
        <x:v>0.007554528758191736</x:v>
      </x:c>
      <x:c r="J444" s="36" t="n">
        <x:v>0.9745182792345682</x:v>
      </x:c>
      <x:c r="K444" s="23" t="n">
        <x:f>0.5*(ABS(H444-E444)+ABS(I444-F444)+ABS(J444-G444))*100</x:f>
        <x:v>49.8123434474716</x:v>
      </x:c>
      <x:c r="L444" s="20" t="n">
        <x:v>24</x:v>
      </x:c>
    </x:row>
    <x:row r="445">
      <x:c r="A445" s="20" t="str">
        <x:v>mlp</x:v>
      </x:c>
      <x:c r="B445" s="20" t="str">
        <x:v>DQ50-TB0-TH500.csv</x:v>
      </x:c>
      <x:c r="C445" s="20" t="n">
        <x:v>5</x:v>
      </x:c>
      <x:c r="D445" s="20" t="str">
        <x:v>binary</x:v>
      </x:c>
      <x:c r="E445" s="36" t="n">
        <x:v>0.09090909361839294</x:v>
      </x:c>
      <x:c r="F445" s="36" t="n">
        <x:v>0</x:v>
      </x:c>
      <x:c r="G445" s="36" t="n">
        <x:v>0.9090909361839294</x:v>
      </x:c>
      <x:c r="H445" s="36" t="n">
        <x:v>0.008462533330506025</x:v>
      </x:c>
      <x:c r="I445" s="36" t="n">
        <x:v>0.004021759862856318</x:v>
      </x:c>
      <x:c r="J445" s="36" t="n">
        <x:v>0.9875157078107198</x:v>
      </x:c>
      <x:c r="K445" s="23" t="n">
        <x:f>0.5*(ABS(H445-E445)+ABS(I445-F445)+ABS(J445-G445))*100</x:f>
        <x:v>8.244654588876681</x:v>
      </x:c>
      <x:c r="L445" s="20" t="n">
        <x:v>24</x:v>
      </x:c>
    </x:row>
    <x:row r="446">
      <x:c r="A446" s="20" t="str">
        <x:v>mlp</x:v>
      </x:c>
      <x:c r="B446" s="20" t="str">
        <x:v>DQ50-TB500-TH0.csv</x:v>
      </x:c>
      <x:c r="C446" s="20" t="n">
        <x:v>5</x:v>
      </x:c>
      <x:c r="D446" s="20" t="str">
        <x:v>binary</x:v>
      </x:c>
      <x:c r="E446" s="36" t="n">
        <x:v>0.09090909361839294</x:v>
      </x:c>
      <x:c r="F446" s="36" t="n">
        <x:v>0.9090909361839294</x:v>
      </x:c>
      <x:c r="G446" s="36" t="n">
        <x:v>0</x:v>
      </x:c>
      <x:c r="H446" s="36" t="n">
        <x:v>0.2683291646341483</x:v>
      </x:c>
      <x:c r="I446" s="36" t="n">
        <x:v>0.7305707708001137</x:v>
      </x:c>
      <x:c r="J446" s="36" t="n">
        <x:v>0.0011000716828372485</x:v>
      </x:c>
      <x:c r="K446" s="23" t="n">
        <x:f>0.5*(ABS(H446-E446)+ABS(I446-F446)+ABS(J446-G446))*100</x:f>
        <x:v>17.85201540412042</x:v>
      </x:c>
      <x:c r="L446" s="20" t="n">
        <x:v>24</x:v>
      </x:c>
    </x:row>
    <x:row r="447">
      <x:c r="A447" s="20" t="str">
        <x:v>mlp</x:v>
      </x:c>
      <x:c r="B447" s="20" t="str">
        <x:v>DQ6-TB24-TH3.csv</x:v>
      </x:c>
      <x:c r="C447" s="20" t="n">
        <x:v>5</x:v>
      </x:c>
      <x:c r="D447" s="20" t="str">
        <x:v>ternary</x:v>
      </x:c>
      <x:c r="E447" s="36" t="n">
        <x:v>0.1818181872367859</x:v>
      </x:c>
      <x:c r="F447" s="36" t="n">
        <x:v>0.7272727489471436</x:v>
      </x:c>
      <x:c r="G447" s="36" t="n">
        <x:v>0.09090909361839294</x:v>
      </x:c>
      <x:c r="H447" s="36" t="n">
        <x:v>0.35417277614275616</x:v>
      </x:c>
      <x:c r="I447" s="36" t="n">
        <x:v>0.45925754432876903</x:v>
      </x:c>
      <x:c r="J447" s="36" t="n">
        <x:v>0.1865696838746468</x:v>
      </x:c>
      <x:c r="K447" s="23" t="n">
        <x:f>0.5*(ABS(H447-E447)+ABS(I447-F447)+ABS(J447-G447))*100</x:f>
        <x:v>26.801519189029932</x:v>
      </x:c>
      <x:c r="L447" s="20" t="n">
        <x:v>24</x:v>
      </x:c>
    </x:row>
    <x:row r="448">
      <x:c r="A448" s="20" t="str">
        <x:v>mlp</x:v>
      </x:c>
      <x:c r="B448" s="20" t="str">
        <x:v>DQ6-TB3-TH6.csv</x:v>
      </x:c>
      <x:c r="C448" s="20" t="n">
        <x:v>5</x:v>
      </x:c>
      <x:c r="D448" s="20" t="str">
        <x:v>ternary</x:v>
      </x:c>
      <x:c r="E448" s="36" t="n">
        <x:v>0.4000000059604645</x:v>
      </x:c>
      <x:c r="F448" s="36" t="n">
        <x:v>0.20000000298023224</x:v>
      </x:c>
      <x:c r="G448" s="36" t="n">
        <x:v>0.4000000059604645</x:v>
      </x:c>
      <x:c r="H448" s="36" t="n">
        <x:v>0.3685225819547971</x:v>
      </x:c>
      <x:c r="I448" s="36" t="n">
        <x:v>0.2780163809657097</x:v>
      </x:c>
      <x:c r="J448" s="36" t="n">
        <x:v>0.3534610401839018</x:v>
      </x:c>
      <x:c r="K448" s="23" t="n">
        <x:f>0.5*(ABS(H448-E448)+ABS(I448-F448)+ABS(J448-G448))*100</x:f>
        <x:v>7.801638388385376</x:v>
      </x:c>
      <x:c r="L448" s="20" t="n">
        <x:v>24</x:v>
      </x:c>
    </x:row>
    <x:row r="449">
      <x:c r="A449" s="21" t="str">
        <x:v>mlp</x:v>
      </x:c>
      <x:c r="B449" s="21" t="str">
        <x:v>DQ6-TB6-TH24.csv</x:v>
      </x:c>
      <x:c r="C449" s="21" t="n">
        <x:v>5</x:v>
      </x:c>
      <x:c r="D449" s="21" t="str">
        <x:v>ternary</x:v>
      </x:c>
      <x:c r="E449" s="37" t="n">
        <x:v>0.1666666716337204</x:v>
      </x:c>
      <x:c r="F449" s="37" t="n">
        <x:v>0.1666666716337204</x:v>
      </x:c>
      <x:c r="G449" s="37" t="n">
        <x:v>0.6666666865348816</x:v>
      </x:c>
      <x:c r="H449" s="37" t="n">
        <x:v>0.10225418786285445</x:v>
      </x:c>
      <x:c r="I449" s="37" t="n">
        <x:v>0.08617238704270373</x:v>
      </x:c>
      <x:c r="J449" s="37" t="n">
        <x:v>0.8115734308958054</x:v>
      </x:c>
      <x:c r="K449" s="24" t="n">
        <x:f>0.5*(ABS(H449-E449)+ABS(I449-F449)+ABS(J449-G449))*100</x:f>
        <x:v>14.490675636140319</x:v>
      </x:c>
      <x:c r="L449" s="21" t="n">
        <x:v>24</x:v>
      </x:c>
    </x:row>
  </x:sheetData>
  <x:mergeCells>
    <x:mergeCell ref="A1:L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630000114440918" hidden="0" customWidth="1"/>
    <x:col min="2" max="2" width="19.3799991607666" hidden="0" customWidth="1"/>
    <x:col min="3" max="3" width="8.130000114440918" hidden="0" customWidth="1"/>
    <x:col min="4" max="4" width="9.380000114440918" hidden="0" customWidth="1"/>
    <x:col min="5" max="5" width="14.380000114440918" hidden="0" customWidth="1"/>
    <x:col min="6" max="6" width="15" hidden="0" customWidth="1"/>
    <x:col min="7" max="7" width="10.630000114440918" hidden="0" customWidth="1"/>
    <x:col min="8" max="8" width="10.630000114440918" hidden="0" customWidth="1"/>
    <x:col min="9" max="9" width="13.130000114440918" hidden="0" customWidth="1"/>
    <x:col min="10" max="10" width="11.880000114440918" hidden="0" customWidth="1"/>
    <x:col min="11" max="11" width="15" hidden="0" customWidth="1"/>
    <x:col min="12" max="12" width="15.630000114440918" hidden="0" customWidth="1"/>
  </x:cols>
  <x:sheetData>
    <x:row r="1" ht="28" customHeight="1">
      <x:c r="A1" s="4" t="str">
        <x:v>Concentration benchmark — calibration-guided residual learning</x:v>
      </x:c>
      <x:c r="B1" s="4" t="str">
        <x:v>Concentration benchmark — calibration-guided residual learning</x:v>
      </x:c>
      <x:c r="C1" s="4" t="str">
        <x:v>Concentration benchmark — calibration-guided residual learning</x:v>
      </x:c>
      <x:c r="D1" s="4" t="str">
        <x:v>Concentration benchmark — calibration-guided residual learning</x:v>
      </x:c>
      <x:c r="E1" s="4" t="str">
        <x:v>Concentration benchmark — calibration-guided residual learning</x:v>
      </x:c>
      <x:c r="F1" s="4" t="str">
        <x:v>Concentration benchmark — calibration-guided residual learning</x:v>
      </x:c>
      <x:c r="G1" s="4" t="str">
        <x:v>Concentration benchmark — calibration-guided residual learning</x:v>
      </x:c>
      <x:c r="H1" s="4" t="str">
        <x:v>Concentration benchmark — calibration-guided residual learning</x:v>
      </x:c>
      <x:c r="I1" s="4" t="str">
        <x:v>Concentration benchmark — calibration-guided residual learning</x:v>
      </x:c>
      <x:c r="J1" s="4" t="str">
        <x:v>Concentration benchmark — calibration-guided residual learning</x:v>
      </x:c>
      <x:c r="K1" s="4" t="str">
        <x:v>Concentration benchmark — calibration-guided residual learning</x:v>
      </x:c>
      <x:c r="L1" s="4" t="str">
        <x:v>Concentration benchmark — calibration-guided residual learning</x:v>
      </x:c>
    </x:row>
    <x:row r="2" ht="28" customHeight="1">
      <x:c r="A2" s="4" t="str">
        <x:v>Concentration benchmark — calibration-guided residual learning</x:v>
      </x:c>
      <x:c r="B2" s="4" t="str">
        <x:v>Concentration benchmark — calibration-guided residual learning</x:v>
      </x:c>
      <x:c r="C2" s="4" t="str">
        <x:v>Concentration benchmark — calibration-guided residual learning</x:v>
      </x:c>
      <x:c r="D2" s="4" t="str">
        <x:v>Concentration benchmark — calibration-guided residual learning</x:v>
      </x:c>
      <x:c r="E2" s="4" t="str">
        <x:v>Concentration benchmark — calibration-guided residual learning</x:v>
      </x:c>
      <x:c r="F2" s="4" t="str">
        <x:v>Concentration benchmark — calibration-guided residual learning</x:v>
      </x:c>
      <x:c r="G2" s="4" t="str">
        <x:v>Concentration benchmark — calibration-guided residual learning</x:v>
      </x:c>
      <x:c r="H2" s="4" t="str">
        <x:v>Concentration benchmark — calibration-guided residual learning</x:v>
      </x:c>
      <x:c r="I2" s="4" t="str">
        <x:v>Concentration benchmark — calibration-guided residual learning</x:v>
      </x:c>
      <x:c r="J2" s="4" t="str">
        <x:v>Concentration benchmark — calibration-guided residual learning</x:v>
      </x:c>
      <x:c r="K2" s="4" t="str">
        <x:v>Concentration benchmark — calibration-guided residual learning</x:v>
      </x:c>
      <x:c r="L2" s="4" t="str">
        <x:v>Concentration benchmark — calibration-guided residual learning</x:v>
      </x:c>
    </x:row>
    <x:row r="4">
      <x:c r="A4" s="15" t="str">
        <x:v>Method</x:v>
      </x:c>
      <x:c r="B4" s="16" t="str">
        <x:v>Subset</x:v>
      </x:c>
      <x:c r="C4" s="16" t="str">
        <x:v>N maps</x:v>
      </x:c>
      <x:c r="D4" s="16" t="str">
        <x:v>N present</x:v>
      </x:c>
      <x:c r="E4" s="16" t="str">
        <x:v>Mean recovery (%)</x:v>
      </x:c>
      <x:c r="F4" s="16" t="str">
        <x:v>Median recovery (%)</x:v>
      </x:c>
      <x:c r="G4" s="16" t="str">
        <x:v>MAE (µM)</x:v>
      </x:c>
      <x:c r="H4" s="16" t="str">
        <x:v>RMSE log10</x:v>
      </x:c>
      <x:c r="I4" s="16" t="str">
        <x:v>Within 1.5× (%)</x:v>
      </x:c>
      <x:c r="J4" s="16" t="str">
        <x:v>Within 2× (%)</x:v>
      </x:c>
      <x:c r="K4" s="16" t="str">
        <x:v>Euclidean mean (µM)</x:v>
      </x:c>
      <x:c r="L4" s="17" t="str">
        <x:v>Euclidean median (µM)</x:v>
      </x:c>
    </x:row>
    <x:row r="5">
      <x:c r="A5" s="19" t="str">
        <x:v>pure_calibration</x:v>
      </x:c>
      <x:c r="B5" s="19" t="str">
        <x:v>all_no100</x:v>
      </x:c>
      <x:c r="C5" s="19" t="n">
        <x:v>89</x:v>
      </x:c>
      <x:c r="D5" s="19" t="n">
        <x:v>246</x:v>
      </x:c>
      <x:c r="E5" s="22" t="n">
        <x:v>55.566390069718</x:v>
      </x:c>
      <x:c r="F5" s="22" t="n">
        <x:v>30.962290541898902</x:v>
      </x:c>
      <x:c r="G5" s="22" t="n">
        <x:v>51.617570188981496</x:v>
      </x:c>
      <x:c r="H5" s="22" t="n">
        <x:v>0.9385313980665067</x:v>
      </x:c>
      <x:c r="I5" s="22" t="n">
        <x:v>14.227642276422763</x:v>
      </x:c>
      <x:c r="J5" s="22" t="n">
        <x:v>24.796747967479675</x:v>
      </x:c>
      <x:c r="K5" s="22" t="n">
        <x:v>109.79338705154582</x:v>
      </x:c>
      <x:c r="L5" s="22" t="n">
        <x:v>21.446554367247078</x:v>
      </x:c>
    </x:row>
    <x:row r="6">
      <x:c r="A6" s="20" t="str">
        <x:v>pure_calibration</x:v>
      </x:c>
      <x:c r="B6" s="20" t="str">
        <x:v>binary</x:v>
      </x:c>
      <x:c r="C6" s="20" t="n">
        <x:v>21</x:v>
      </x:c>
      <x:c r="D6" s="20" t="n">
        <x:v>42</x:v>
      </x:c>
      <x:c r="E6" s="23" t="n">
        <x:v>26.21419880550613</x:v>
      </x:c>
      <x:c r="F6" s="23" t="n">
        <x:v>4.593127444534857</x:v>
      </x:c>
      <x:c r="G6" s="23" t="n">
        <x:v>195.9327628617881</x:v>
      </x:c>
      <x:c r="H6" s="23" t="n">
        <x:v>1.5510201308062894</x:v>
      </x:c>
      <x:c r="I6" s="23" t="n">
        <x:v>4.761904761904762</x:v>
      </x:c>
      <x:c r="J6" s="23" t="n">
        <x:v>11.904761904761903</x:v>
      </x:c>
      <x:c r="K6" s="23" t="n">
        <x:v>320.90283269582534</x:v>
      </x:c>
      <x:c r="L6" s="23" t="n">
        <x:v>250.9332881553899</x:v>
      </x:c>
    </x:row>
    <x:row r="7">
      <x:c r="A7" s="20" t="str">
        <x:v>pure_calibration</x:v>
      </x:c>
      <x:c r="B7" s="20" t="str">
        <x:v>ternary</x:v>
      </x:c>
      <x:c r="C7" s="20" t="n">
        <x:v>68</x:v>
      </x:c>
      <x:c r="D7" s="20" t="n">
        <x:v>204</x:v>
      </x:c>
      <x:c r="E7" s="23" t="n">
        <x:v>61.609488271173376</x:v>
      </x:c>
      <x:c r="F7" s="23" t="n">
        <x:v>35.029344460528</x:v>
      </x:c>
      <x:c r="G7" s="23" t="n">
        <x:v>21.905618756344836</x:v>
      </x:c>
      <x:c r="H7" s="23" t="n">
        <x:v>0.7529323942047602</x:v>
      </x:c>
      <x:c r="I7" s="23" t="n">
        <x:v>16.176470588235293</x:v>
      </x:c>
      <x:c r="J7" s="23" t="n">
        <x:v>27.450980392156865</x:v>
      </x:c>
      <x:c r="K7" s="23" t="n">
        <x:v>44.59782295551834</x:v>
      </x:c>
      <x:c r="L7" s="23" t="n">
        <x:v>15.88114222114427</x:v>
      </x:c>
    </x:row>
    <x:row r="8">
      <x:c r="A8" s="20" t="str">
        <x:v>pure_calibration</x:v>
      </x:c>
      <x:c r="B8" s="20" t="str">
        <x:v>low_grid64</x:v>
      </x:c>
      <x:c r="C8" s="20" t="n">
        <x:v>64</x:v>
      </x:c>
      <x:c r="D8" s="20" t="n">
        <x:v>192</x:v>
      </x:c>
      <x:c r="E8" s="23" t="n">
        <x:v>64.78556698509018</x:v>
      </x:c>
      <x:c r="F8" s="23" t="n">
        <x:v>36.86829059281861</x:v>
      </x:c>
      <x:c r="G8" s="23" t="n">
        <x:v>8.806247131374958</x:v>
      </x:c>
      <x:c r="H8" s="23" t="n">
        <x:v>0.5920437857379226</x:v>
      </x:c>
      <x:c r="I8" s="23" t="n">
        <x:v>17.1875</x:v>
      </x:c>
      <x:c r="J8" s="23" t="n">
        <x:v>29.166666666666668</x:v>
      </x:c>
      <x:c r="K8" s="23" t="n">
        <x:v>19.1309311741923</x:v>
      </x:c>
      <x:c r="L8" s="23" t="n">
        <x:v>14.939042447969374</x:v>
      </x:c>
    </x:row>
    <x:row r="9">
      <x:c r="A9" s="20" t="str">
        <x:v>pure_calibration</x:v>
      </x:c>
      <x:c r="B9" s="20" t="str">
        <x:v>calibration_range_max100</x:v>
      </x:c>
      <x:c r="C9" s="20" t="n">
        <x:v>64</x:v>
      </x:c>
      <x:c r="D9" s="20" t="n">
        <x:v>192</x:v>
      </x:c>
      <x:c r="E9" s="23" t="n">
        <x:v>64.78556698509018</x:v>
      </x:c>
      <x:c r="F9" s="23" t="n">
        <x:v>36.86829059281861</x:v>
      </x:c>
      <x:c r="G9" s="23" t="n">
        <x:v>8.806247131374958</x:v>
      </x:c>
      <x:c r="H9" s="23" t="n">
        <x:v>0.5920437857379226</x:v>
      </x:c>
      <x:c r="I9" s="23" t="n">
        <x:v>17.1875</x:v>
      </x:c>
      <x:c r="J9" s="23" t="n">
        <x:v>29.166666666666668</x:v>
      </x:c>
      <x:c r="K9" s="23" t="n">
        <x:v>19.1309311741923</x:v>
      </x:c>
      <x:c r="L9" s="23" t="n">
        <x:v>14.939042447969374</x:v>
      </x:c>
    </x:row>
    <x:row r="10">
      <x:c r="A10" s="20" t="str">
        <x:v>ridge_residual</x:v>
      </x:c>
      <x:c r="B10" s="20" t="str">
        <x:v>all_no100</x:v>
      </x:c>
      <x:c r="C10" s="20" t="n">
        <x:v>89</x:v>
      </x:c>
      <x:c r="D10" s="20" t="n">
        <x:v>246</x:v>
      </x:c>
      <x:c r="E10" s="23" t="n">
        <x:v>131.51294036868916</x:v>
      </x:c>
      <x:c r="F10" s="23" t="n">
        <x:v>111.43121552249102</x:v>
      </x:c>
      <x:c r="G10" s="23" t="n">
        <x:v>40.09608958578032</x:v>
      </x:c>
      <x:c r="H10" s="23" t="n">
        <x:v>0.4135617990081033</x:v>
      </x:c>
      <x:c r="I10" s="23" t="n">
        <x:v>38.61788617886179</x:v>
      </x:c>
      <x:c r="J10" s="23" t="n">
        <x:v>65.4471544715447</x:v>
      </x:c>
      <x:c r="K10" s="23" t="n">
        <x:v>88.40666755978751</x:v>
      </x:c>
      <x:c r="L10" s="23" t="n">
        <x:v>13.503394451219629</x:v>
      </x:c>
    </x:row>
    <x:row r="11">
      <x:c r="A11" s="20" t="str">
        <x:v>ridge_residual</x:v>
      </x:c>
      <x:c r="B11" s="20" t="str">
        <x:v>binary</x:v>
      </x:c>
      <x:c r="C11" s="20" t="n">
        <x:v>21</x:v>
      </x:c>
      <x:c r="D11" s="20" t="n">
        <x:v>42</x:v>
      </x:c>
      <x:c r="E11" s="23" t="n">
        <x:v>63.732694276863185</x:v>
      </x:c>
      <x:c r="F11" s="23" t="n">
        <x:v>43.38319494243747</x:v>
      </x:c>
      <x:c r="G11" s="23" t="n">
        <x:v>156.36696617470474</x:v>
      </x:c>
      <x:c r="H11" s="23" t="n">
        <x:v>0.6679179375001997</x:v>
      </x:c>
      <x:c r="I11" s="23" t="n">
        <x:v>26.190476190476193</x:v>
      </x:c>
      <x:c r="J11" s="23" t="n">
        <x:v>40.476190476190474</x:v>
      </x:c>
      <x:c r="K11" s="23" t="n">
        <x:v>263.9605836426969</x:v>
      </x:c>
      <x:c r="L11" s="23" t="n">
        <x:v>221.92948423768507</x:v>
      </x:c>
    </x:row>
    <x:row r="12">
      <x:c r="A12" s="20" t="str">
        <x:v>ridge_residual</x:v>
      </x:c>
      <x:c r="B12" s="20" t="str">
        <x:v>ternary</x:v>
      </x:c>
      <x:c r="C12" s="20" t="n">
        <x:v>68</x:v>
      </x:c>
      <x:c r="D12" s="20" t="n">
        <x:v>204</x:v>
      </x:c>
      <x:c r="E12" s="23" t="n">
        <x:v>145.4676969170062</x:v>
      </x:c>
      <x:c r="F12" s="23" t="n">
        <x:v>119.77022609574774</x:v>
      </x:c>
      <x:c r="G12" s="23" t="n">
        <x:v>16.157967935119412</x:v>
      </x:c>
      <x:c r="H12" s="23" t="n">
        <x:v>0.33822926556639965</x:v>
      </x:c>
      <x:c r="I12" s="23" t="n">
        <x:v>41.17647058823529</x:v>
      </x:c>
      <x:c r="J12" s="23" t="n">
        <x:v>70.58823529411765</x:v>
      </x:c>
      <x:c r="K12" s="23" t="n">
        <x:v>34.19148759300665</x:v>
      </x:c>
      <x:c r="L12" s="23" t="n">
        <x:v>9.825051112329607</x:v>
      </x:c>
    </x:row>
    <x:row r="13">
      <x:c r="A13" s="20" t="str">
        <x:v>ridge_residual</x:v>
      </x:c>
      <x:c r="B13" s="20" t="str">
        <x:v>low_grid64</x:v>
      </x:c>
      <x:c r="C13" s="20" t="n">
        <x:v>64</x:v>
      </x:c>
      <x:c r="D13" s="20" t="n">
        <x:v>192</x:v>
      </x:c>
      <x:c r="E13" s="23" t="n">
        <x:v>150.6373886631297</x:v>
      </x:c>
      <x:c r="F13" s="23" t="n">
        <x:v>122.74166800235842</x:v>
      </x:c>
      <x:c r="G13" s="23" t="n">
        <x:v>6.193318071844555</x:v>
      </x:c>
      <x:c r="H13" s="23" t="n">
        <x:v>0.2829134383120344</x:v>
      </x:c>
      <x:c r="I13" s="23" t="n">
        <x:v>42.1875</x:v>
      </x:c>
      <x:c r="J13" s="23" t="n">
        <x:v>72.91666666666666</x:v>
      </x:c>
      <x:c r="K13" s="23" t="n">
        <x:v>13.089693904578137</x:v>
      </x:c>
      <x:c r="L13" s="23" t="n">
        <x:v>9.458828399719609</x:v>
      </x:c>
    </x:row>
    <x:row r="14">
      <x:c r="A14" s="20" t="str">
        <x:v>ridge_residual</x:v>
      </x:c>
      <x:c r="B14" s="20" t="str">
        <x:v>calibration_range_max100</x:v>
      </x:c>
      <x:c r="C14" s="20" t="n">
        <x:v>64</x:v>
      </x:c>
      <x:c r="D14" s="20" t="n">
        <x:v>192</x:v>
      </x:c>
      <x:c r="E14" s="23" t="n">
        <x:v>150.6373886631297</x:v>
      </x:c>
      <x:c r="F14" s="23" t="n">
        <x:v>122.74166800235842</x:v>
      </x:c>
      <x:c r="G14" s="23" t="n">
        <x:v>6.193318071844555</x:v>
      </x:c>
      <x:c r="H14" s="23" t="n">
        <x:v>0.2829134383120344</x:v>
      </x:c>
      <x:c r="I14" s="23" t="n">
        <x:v>42.1875</x:v>
      </x:c>
      <x:c r="J14" s="23" t="n">
        <x:v>72.91666666666666</x:v>
      </x:c>
      <x:c r="K14" s="23" t="n">
        <x:v>13.089693904578137</x:v>
      </x:c>
      <x:c r="L14" s="23" t="n">
        <x:v>9.458828399719609</x:v>
      </x:c>
    </x:row>
    <x:row r="15">
      <x:c r="A15" s="20" t="str">
        <x:v>neural_residual</x:v>
      </x:c>
      <x:c r="B15" s="20" t="str">
        <x:v>all_no100</x:v>
      </x:c>
      <x:c r="C15" s="20" t="n">
        <x:v>89</x:v>
      </x:c>
      <x:c r="D15" s="20" t="n">
        <x:v>246</x:v>
      </x:c>
      <x:c r="E15" s="23" t="n">
        <x:v>109.20227176342966</x:v>
      </x:c>
      <x:c r="F15" s="23" t="n">
        <x:v>91.87565652920672</x:v>
      </x:c>
      <x:c r="G15" s="23" t="n">
        <x:v>38.0188027295025</x:v>
      </x:c>
      <x:c r="H15" s="23" t="n">
        <x:v>0.40077744412633587</x:v>
      </x:c>
      <x:c r="I15" s="23" t="n">
        <x:v>50</x:v>
      </x:c>
      <x:c r="J15" s="23" t="n">
        <x:v>70.32520325203252</x:v>
      </x:c>
      <x:c r="K15" s="23" t="n">
        <x:v>86.29687530049597</x:v>
      </x:c>
      <x:c r="L15" s="23" t="n">
        <x:v>12.13286441936684</x:v>
      </x:c>
    </x:row>
    <x:row r="16">
      <x:c r="A16" s="20" t="str">
        <x:v>neural_residual</x:v>
      </x:c>
      <x:c r="B16" s="20" t="str">
        <x:v>binary</x:v>
      </x:c>
      <x:c r="C16" s="20" t="n">
        <x:v>21</x:v>
      </x:c>
      <x:c r="D16" s="20" t="n">
        <x:v>42</x:v>
      </x:c>
      <x:c r="E16" s="23" t="n">
        <x:v>75.57140762120792</x:v>
      </x:c>
      <x:c r="F16" s="23" t="n">
        <x:v>56.14862925815293</x:v>
      </x:c>
      <x:c r="G16" s="23" t="n">
        <x:v>153.92385438992466</x:v>
      </x:c>
      <x:c r="H16" s="23" t="n">
        <x:v>0.6560050863254916</x:v>
      </x:c>
      <x:c r="I16" s="23" t="n">
        <x:v>28.57142857142857</x:v>
      </x:c>
      <x:c r="J16" s="23" t="n">
        <x:v>42.857142857142854</x:v>
      </x:c>
      <x:c r="K16" s="23" t="n">
        <x:v>264.8916281134364</x:v>
      </x:c>
      <x:c r="L16" s="23" t="n">
        <x:v>211.66794060632435</x:v>
      </x:c>
    </x:row>
    <x:row r="17">
      <x:c r="A17" s="20" t="str">
        <x:v>neural_residual</x:v>
      </x:c>
      <x:c r="B17" s="20" t="str">
        <x:v>ternary</x:v>
      </x:c>
      <x:c r="C17" s="20" t="n">
        <x:v>68</x:v>
      </x:c>
      <x:c r="D17" s="20" t="n">
        <x:v>204</x:v>
      </x:c>
      <x:c r="E17" s="23" t="n">
        <x:v>116.12627320447532</x:v>
      </x:c>
      <x:c r="F17" s="23" t="n">
        <x:v>100.52094467999191</x:v>
      </x:c>
      <x:c r="G17" s="23" t="n">
        <x:v>14.155997975886164</x:v>
      </x:c>
      <x:c r="H17" s="23" t="n">
        <x:v>0.3241788828782996</x:v>
      </x:c>
      <x:c r="I17" s="23" t="n">
        <x:v>54.41176470588235</x:v>
      </x:c>
      <x:c r="J17" s="23" t="n">
        <x:v>75.98039215686273</x:v>
      </x:c>
      <x:c r="K17" s="23" t="n">
        <x:v>31.142613402382</x:v>
      </x:c>
      <x:c r="L17" s="23" t="n">
        <x:v>8.73467271173084</x:v>
      </x:c>
    </x:row>
    <x:row r="18">
      <x:c r="A18" s="38" t="str">
        <x:v>neural_residual</x:v>
      </x:c>
      <x:c r="B18" s="38" t="str">
        <x:v>low_grid64</x:v>
      </x:c>
      <x:c r="C18" s="38" t="n">
        <x:v>64</x:v>
      </x:c>
      <x:c r="D18" s="38" t="n">
        <x:v>192</x:v>
      </x:c>
      <x:c r="E18" s="39" t="n">
        <x:v>120.04464995962539</x:v>
      </x:c>
      <x:c r="F18" s="39" t="n">
        <x:v>104.23243397837263</x:v>
      </x:c>
      <x:c r="G18" s="39" t="n">
        <x:v>5.00747635640615</x:v>
      </x:c>
      <x:c r="H18" s="39" t="n">
        <x:v>0.2626978061529275</x:v>
      </x:c>
      <x:c r="I18" s="39" t="n">
        <x:v>55.208333333333336</x:v>
      </x:c>
      <x:c r="J18" s="39" t="n">
        <x:v>78.125</x:v>
      </x:c>
      <x:c r="K18" s="39" t="n">
        <x:v>10.483982755703686</x:v>
      </x:c>
      <x:c r="L18" s="39" t="n">
        <x:v>8.33476949860821</x:v>
      </x:c>
    </x:row>
    <x:row r="19">
      <x:c r="A19" s="21" t="str">
        <x:v>neural_residual</x:v>
      </x:c>
      <x:c r="B19" s="21" t="str">
        <x:v>calibration_range_max100</x:v>
      </x:c>
      <x:c r="C19" s="21" t="n">
        <x:v>64</x:v>
      </x:c>
      <x:c r="D19" s="21" t="n">
        <x:v>192</x:v>
      </x:c>
      <x:c r="E19" s="24" t="n">
        <x:v>120.04464995962539</x:v>
      </x:c>
      <x:c r="F19" s="24" t="n">
        <x:v>104.23243397837263</x:v>
      </x:c>
      <x:c r="G19" s="24" t="n">
        <x:v>5.00747635640615</x:v>
      </x:c>
      <x:c r="H19" s="24" t="n">
        <x:v>0.2626978061529275</x:v>
      </x:c>
      <x:c r="I19" s="24" t="n">
        <x:v>55.208333333333336</x:v>
      </x:c>
      <x:c r="J19" s="24" t="n">
        <x:v>78.125</x:v>
      </x:c>
      <x:c r="K19" s="24" t="n">
        <x:v>10.483982755703686</x:v>
      </x:c>
      <x:c r="L19" s="24" t="n">
        <x:v>8.33476949860821</x:v>
      </x:c>
    </x:row>
  </x:sheetData>
  <x:mergeCells>
    <x:mergeCell ref="A1:L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6.880000114440918" hidden="0" customWidth="1"/>
    <x:col min="3" max="3" width="9.380000114440918" hidden="0" customWidth="1"/>
    <x:col min="4" max="4" width="8.75" hidden="0" customWidth="1"/>
    <x:col min="5" max="5" width="9.380000114440918" hidden="0" customWidth="1"/>
    <x:col min="6" max="6" width="10.630000114440918" hidden="0" customWidth="1"/>
    <x:col min="7" max="7" width="11.25" hidden="0" customWidth="1"/>
    <x:col min="8" max="8" width="10" hidden="0" customWidth="1"/>
    <x:col min="9" max="9" width="10" hidden="0" customWidth="1"/>
    <x:col min="10" max="10" width="13.130000114440918" hidden="0" customWidth="1"/>
    <x:col min="11" max="11" width="10.630000114440918" hidden="0" customWidth="1"/>
    <x:col min="12" max="12" width="11.25" hidden="0" customWidth="1"/>
    <x:col min="13" max="13" width="11.25" hidden="0" customWidth="1"/>
    <x:col min="14" max="14" width="11.25" hidden="0" customWidth="1"/>
    <x:col min="15" max="15" width="13.75" hidden="0" customWidth="1"/>
  </x:cols>
  <x:sheetData>
    <x:row r="1" ht="28" customHeight="1">
      <x:c r="A1" s="4" t="str">
        <x:v>Integrated held-out concentration predictions</x:v>
      </x:c>
      <x:c r="B1" s="4" t="str">
        <x:v>Integrated held-out concentration predictions</x:v>
      </x:c>
      <x:c r="C1" s="4" t="str">
        <x:v>Integrated held-out concentration predictions</x:v>
      </x:c>
      <x:c r="D1" s="4" t="str">
        <x:v>Integrated held-out concentration predictions</x:v>
      </x:c>
      <x:c r="E1" s="4" t="str">
        <x:v>Integrated held-out concentration predictions</x:v>
      </x:c>
      <x:c r="F1" s="4" t="str">
        <x:v>Integrated held-out concentration predictions</x:v>
      </x:c>
      <x:c r="G1" s="4" t="str">
        <x:v>Integrated held-out concentration predictions</x:v>
      </x:c>
      <x:c r="H1" s="4" t="str">
        <x:v>Integrated held-out concentration predictions</x:v>
      </x:c>
      <x:c r="I1" s="4" t="str">
        <x:v>Integrated held-out concentration predictions</x:v>
      </x:c>
      <x:c r="J1" s="4" t="str">
        <x:v>Integrated held-out concentration predictions</x:v>
      </x:c>
      <x:c r="K1" s="4" t="str">
        <x:v>Integrated held-out concentration predictions</x:v>
      </x:c>
      <x:c r="L1" s="4" t="str">
        <x:v>Integrated held-out concentration predictions</x:v>
      </x:c>
      <x:c r="M1" s="4" t="str">
        <x:v>Integrated held-out concentration predictions</x:v>
      </x:c>
      <x:c r="N1" s="4" t="str">
        <x:v>Integrated held-out concentration predictions</x:v>
      </x:c>
      <x:c r="O1" s="4" t="str">
        <x:v>Integrated held-out concentration predictions</x:v>
      </x:c>
    </x:row>
    <x:row r="2" ht="28" customHeight="1">
      <x:c r="A2" s="4" t="str">
        <x:v>Integrated held-out concentration predictions</x:v>
      </x:c>
      <x:c r="B2" s="4" t="str">
        <x:v>Integrated held-out concentration predictions</x:v>
      </x:c>
      <x:c r="C2" s="4" t="str">
        <x:v>Integrated held-out concentration predictions</x:v>
      </x:c>
      <x:c r="D2" s="4" t="str">
        <x:v>Integrated held-out concentration predictions</x:v>
      </x:c>
      <x:c r="E2" s="4" t="str">
        <x:v>Integrated held-out concentration predictions</x:v>
      </x:c>
      <x:c r="F2" s="4" t="str">
        <x:v>Integrated held-out concentration predictions</x:v>
      </x:c>
      <x:c r="G2" s="4" t="str">
        <x:v>Integrated held-out concentration predictions</x:v>
      </x:c>
      <x:c r="H2" s="4" t="str">
        <x:v>Integrated held-out concentration predictions</x:v>
      </x:c>
      <x:c r="I2" s="4" t="str">
        <x:v>Integrated held-out concentration predictions</x:v>
      </x:c>
      <x:c r="J2" s="4" t="str">
        <x:v>Integrated held-out concentration predictions</x:v>
      </x:c>
      <x:c r="K2" s="4" t="str">
        <x:v>Integrated held-out concentration predictions</x:v>
      </x:c>
      <x:c r="L2" s="4" t="str">
        <x:v>Integrated held-out concentration predictions</x:v>
      </x:c>
      <x:c r="M2" s="4" t="str">
        <x:v>Integrated held-out concentration predictions</x:v>
      </x:c>
      <x:c r="N2" s="4" t="str">
        <x:v>Integrated held-out concentration predictions</x:v>
      </x:c>
      <x:c r="O2" s="4" t="str">
        <x:v>Integrated held-out concentration predictions</x:v>
      </x:c>
    </x:row>
    <x:row r="4">
      <x:c r="A4" s="15" t="str">
        <x:v>Map</x:v>
      </x:c>
      <x:c r="B4" s="16" t="str">
        <x:v>Fold</x:v>
      </x:c>
      <x:c r="C4" s="16" t="str">
        <x:v>Sample type</x:v>
      </x:c>
      <x:c r="D4" s="16" t="str">
        <x:v>Component</x:v>
      </x:c>
      <x:c r="E4" s="16" t="str">
        <x:v>True (µM)</x:v>
      </x:c>
      <x:c r="F4" s="16" t="str">
        <x:v>Ratio pred (%)</x:v>
      </x:c>
      <x:c r="G4" s="16" t="str">
        <x:v>Ieq (a.u.)</x:v>
      </x:c>
      <x:c r="H4" s="16" t="str">
        <x:v>Ccal (µM)</x:v>
      </x:c>
      <x:c r="I4" s="16" t="str">
        <x:v>Ridge (µM)</x:v>
      </x:c>
      <x:c r="J4" s="16" t="str">
        <x:v>Residual MLP (µM)</x:v>
      </x:c>
      <x:c r="K4" s="16" t="str">
        <x:v>Recovery (%)</x:v>
      </x:c>
      <x:c r="L4" s="16" t="str">
        <x:v>Abs error (µM)</x:v>
      </x:c>
      <x:c r="M4" s="16" t="str">
        <x:v>Residual ΔlogC</x:v>
      </x:c>
      <x:c r="N4" s="16" t="str">
        <x:v>Residual epoch</x:v>
      </x:c>
      <x:c r="O4" s="17" t="str">
        <x:v>Within calibration range</x:v>
      </x:c>
    </x:row>
    <x:row r="5">
      <x:c r="A5" s="19" t="str">
        <x:v>DQ12-TB12-TH6.csv</x:v>
      </x:c>
      <x:c r="B5" s="19" t="n">
        <x:v>1</x:v>
      </x:c>
      <x:c r="C5" s="19" t="str">
        <x:v>ternary</x:v>
      </x:c>
      <x:c r="D5" s="19" t="str">
        <x:v>DQ</x:v>
      </x:c>
      <x:c r="E5" s="22" t="n">
        <x:v>12</x:v>
      </x:c>
      <x:c r="F5" s="22" t="n">
        <x:v>35.52466540127192</x:v>
      </x:c>
      <x:c r="G5" s="22" t="n">
        <x:v>6011.564164805352</x:v>
      </x:c>
      <x:c r="H5" s="22" t="n">
        <x:v>6.4960897585993225</x:v>
      </x:c>
      <x:c r="I5" s="22" t="n">
        <x:v>9.891975487361405</x:v>
      </x:c>
      <x:c r="J5" s="22" t="n">
        <x:v>8.97747039627165</x:v>
      </x:c>
      <x:c r="K5" s="22" t="n">
        <x:f>IF(E5&gt;0,J5/E5*100,"")</x:f>
        <x:v>74.81225330226376</x:v>
      </x:c>
      <x:c r="L5" s="22" t="n">
        <x:f>IF(E5&gt;0,ABS(J5-E5),"")</x:f>
        <x:v>3.0225296037283496</x:v>
      </x:c>
      <x:c r="M5" s="22" t="n">
        <x:v>0.1405019462108612</x:v>
      </x:c>
      <x:c r="N5" s="19" t="n">
        <x:v>147</x:v>
      </x:c>
      <x:c r="O5" s="19" t="str">
        <x:v>yes</x:v>
      </x:c>
    </x:row>
    <x:row r="6">
      <x:c r="A6" s="20" t="str">
        <x:v>DQ12-TB12-TH6.csv</x:v>
      </x:c>
      <x:c r="B6" s="20" t="n">
        <x:v>1</x:v>
      </x:c>
      <x:c r="C6" s="20" t="str">
        <x:v>ternary</x:v>
      </x:c>
      <x:c r="D6" s="20" t="str">
        <x:v>TBZ</x:v>
      </x:c>
      <x:c r="E6" s="23" t="n">
        <x:v>12</x:v>
      </x:c>
      <x:c r="F6" s="23" t="n">
        <x:v>45.57732159452584</x:v>
      </x:c>
      <x:c r="G6" s="23" t="n">
        <x:v>1657.9036797868353</x:v>
      </x:c>
      <x:c r="H6" s="23" t="n">
        <x:v>2.0908968041963822</x:v>
      </x:c>
      <x:c r="I6" s="23" t="n">
        <x:v>9.340407837184959</x:v>
      </x:c>
      <x:c r="J6" s="23" t="n">
        <x:v>6.800830910067303</x:v>
      </x:c>
      <x:c r="K6" s="23" t="n">
        <x:f>IF(E6&gt;0,J6/E6*100,"")</x:f>
        <x:v>56.67359091722752</x:v>
      </x:c>
      <x:c r="L6" s="23" t="n">
        <x:f>IF(E6&gt;0,ABS(J6-E6),"")</x:f>
        <x:v>5.199169089932697</x:v>
      </x:c>
      <x:c r="M6" s="23" t="n">
        <x:v>0.5122293829917908</x:v>
      </x:c>
      <x:c r="N6" s="20" t="n">
        <x:v>147</x:v>
      </x:c>
      <x:c r="O6" s="20" t="str">
        <x:v>yes</x:v>
      </x:c>
    </x:row>
    <x:row r="7">
      <x:c r="A7" s="20" t="str">
        <x:v>DQ12-TB12-TH6.csv</x:v>
      </x:c>
      <x:c r="B7" s="20" t="n">
        <x:v>1</x:v>
      </x:c>
      <x:c r="C7" s="20" t="str">
        <x:v>ternary</x:v>
      </x:c>
      <x:c r="D7" s="20" t="str">
        <x:v>THI</x:v>
      </x:c>
      <x:c r="E7" s="23" t="n">
        <x:v>6</x:v>
      </x:c>
      <x:c r="F7" s="23" t="n">
        <x:v>18.89801300410224</x:v>
      </x:c>
      <x:c r="G7" s="23" t="n">
        <x:v>4310.895636607172</x:v>
      </x:c>
      <x:c r="H7" s="23" t="n">
        <x:v>5.5200812030972255</x:v>
      </x:c>
      <x:c r="I7" s="23" t="n">
        <x:v>5.7016716697427965</x:v>
      </x:c>
      <x:c r="J7" s="23" t="n">
        <x:v>4.497289491642812</x:v>
      </x:c>
      <x:c r="K7" s="23" t="n">
        <x:f>IF(E7&gt;0,J7/E7*100,"")</x:f>
        <x:v>74.95482486071353</x:v>
      </x:c>
      <x:c r="L7" s="23" t="n">
        <x:f>IF(E7&gt;0,ABS(J7-E7),"")</x:f>
        <x:v>1.502710508357188</x:v>
      </x:c>
      <x:c r="M7" s="23" t="n">
        <x:v>-0.08899461477994919</x:v>
      </x:c>
      <x:c r="N7" s="20" t="n">
        <x:v>147</x:v>
      </x:c>
      <x:c r="O7" s="20" t="str">
        <x:v>yes</x:v>
      </x:c>
    </x:row>
    <x:row r="8">
      <x:c r="A8" s="20" t="str">
        <x:v>DQ12-TB6-TH3.csv</x:v>
      </x:c>
      <x:c r="B8" s="20" t="n">
        <x:v>1</x:v>
      </x:c>
      <x:c r="C8" s="20" t="str">
        <x:v>ternary</x:v>
      </x:c>
      <x:c r="D8" s="20" t="str">
        <x:v>DQ</x:v>
      </x:c>
      <x:c r="E8" s="23" t="n">
        <x:v>12</x:v>
      </x:c>
      <x:c r="F8" s="23" t="n">
        <x:v>49.949883296911345</x:v>
      </x:c>
      <x:c r="G8" s="23" t="n">
        <x:v>2216.3696724295464</x:v>
      </x:c>
      <x:c r="H8" s="23" t="n">
        <x:v>0.9821676885667591</x:v>
      </x:c>
      <x:c r="I8" s="23" t="n">
        <x:v>19.96623936487793</x:v>
      </x:c>
      <x:c r="J8" s="23" t="n">
        <x:v>9.98472925833551</x:v>
      </x:c>
      <x:c r="K8" s="23" t="n">
        <x:f>IF(E8&gt;0,J8/E8*100,"")</x:f>
        <x:v>83.20607715279591</x:v>
      </x:c>
      <x:c r="L8" s="23" t="n">
        <x:f>IF(E8&gt;0,ABS(J8-E8),"")</x:f>
        <x:v>2.015270741664491</x:v>
      </x:c>
      <x:c r="M8" s="23" t="n">
        <x:v>1.007150650024414</x:v>
      </x:c>
      <x:c r="N8" s="20" t="n">
        <x:v>147</x:v>
      </x:c>
      <x:c r="O8" s="20" t="str">
        <x:v>yes</x:v>
      </x:c>
    </x:row>
    <x:row r="9">
      <x:c r="A9" s="20" t="str">
        <x:v>DQ12-TB6-TH3.csv</x:v>
      </x:c>
      <x:c r="B9" s="20" t="n">
        <x:v>1</x:v>
      </x:c>
      <x:c r="C9" s="20" t="str">
        <x:v>ternary</x:v>
      </x:c>
      <x:c r="D9" s="20" t="str">
        <x:v>TBZ</x:v>
      </x:c>
      <x:c r="E9" s="23" t="n">
        <x:v>6</x:v>
      </x:c>
      <x:c r="F9" s="23" t="n">
        <x:v>29.536566832474552</x:v>
      </x:c>
      <x:c r="G9" s="23" t="n">
        <x:v>952.7097839331908</x:v>
      </x:c>
      <x:c r="H9" s="23" t="n">
        <x:v>1.3659983841016408</x:v>
      </x:c>
      <x:c r="I9" s="23" t="n">
        <x:v>11.569174470446523</x:v>
      </x:c>
      <x:c r="J9" s="23" t="n">
        <x:v>7.581281521925807</x:v>
      </x:c>
      <x:c r="K9" s="23" t="n">
        <x:f>IF(E9&gt;0,J9/E9*100,"")</x:f>
        <x:v>126.35469203209679</x:v>
      </x:c>
      <x:c r="L9" s="23" t="n">
        <x:f>IF(E9&gt;0,ABS(J9-E9),"")</x:f>
        <x:v>1.5812815219258072</x:v>
      </x:c>
      <x:c r="M9" s="23" t="n">
        <x:v>0.7442924380302429</x:v>
      </x:c>
      <x:c r="N9" s="20" t="n">
        <x:v>147</x:v>
      </x:c>
      <x:c r="O9" s="20" t="str">
        <x:v>yes</x:v>
      </x:c>
    </x:row>
    <x:row r="10">
      <x:c r="A10" s="20" t="str">
        <x:v>DQ12-TB6-TH3.csv</x:v>
      </x:c>
      <x:c r="B10" s="20" t="n">
        <x:v>1</x:v>
      </x:c>
      <x:c r="C10" s="20" t="str">
        <x:v>ternary</x:v>
      </x:c>
      <x:c r="D10" s="20" t="str">
        <x:v>THI</x:v>
      </x:c>
      <x:c r="E10" s="23" t="n">
        <x:v>3</x:v>
      </x:c>
      <x:c r="F10" s="23" t="n">
        <x:v>20.5135498705141</x:v>
      </x:c>
      <x:c r="G10" s="23" t="n">
        <x:v>764.2388788843267</x:v>
      </x:c>
      <x:c r="H10" s="23" t="n">
        <x:v>0.9248116652105678</x:v>
      </x:c>
      <x:c r="I10" s="23" t="n">
        <x:v>3.7614462537973874</x:v>
      </x:c>
      <x:c r="J10" s="23" t="n">
        <x:v>4.244280653606587</x:v>
      </x:c>
      <x:c r="K10" s="23" t="n">
        <x:f>IF(E10&gt;0,J10/E10*100,"")</x:f>
        <x:v>141.47602178688626</x:v>
      </x:c>
      <x:c r="L10" s="23" t="n">
        <x:f>IF(E10&gt;0,ABS(J10-E10),"")</x:f>
        <x:v>1.2442806536065874</x:v>
      </x:c>
      <x:c r="M10" s="23" t="n">
        <x:v>0.6617507934570312</x:v>
      </x:c>
      <x:c r="N10" s="20" t="n">
        <x:v>147</x:v>
      </x:c>
      <x:c r="O10" s="20" t="str">
        <x:v>yes</x:v>
      </x:c>
    </x:row>
    <x:row r="11">
      <x:c r="A11" s="20" t="str">
        <x:v>DQ24-TB6-TH12.csv</x:v>
      </x:c>
      <x:c r="B11" s="20" t="n">
        <x:v>1</x:v>
      </x:c>
      <x:c r="C11" s="20" t="str">
        <x:v>ternary</x:v>
      </x:c>
      <x:c r="D11" s="20" t="str">
        <x:v>DQ</x:v>
      </x:c>
      <x:c r="E11" s="23" t="n">
        <x:v>24</x:v>
      </x:c>
      <x:c r="F11" s="23" t="n">
        <x:v>57.30688538265022</x:v>
      </x:c>
      <x:c r="G11" s="23" t="n">
        <x:v>6303.48653970284</x:v>
      </x:c>
      <x:c r="H11" s="23" t="n">
        <x:v>7.512101183626662</x:v>
      </x:c>
      <x:c r="I11" s="23" t="n">
        <x:v>28.071591408498314</x:v>
      </x:c>
      <x:c r="J11" s="23" t="n">
        <x:v>20.0075918935612</x:v>
      </x:c>
      <x:c r="K11" s="23" t="n">
        <x:f>IF(E11&gt;0,J11/E11*100,"")</x:f>
        <x:v>83.36496622317168</x:v>
      </x:c>
      <x:c r="L11" s="23" t="n">
        <x:f>IF(E11&gt;0,ABS(J11-E11),"")</x:f>
        <x:v>3.9924081064387984</x:v>
      </x:c>
      <x:c r="M11" s="23" t="n">
        <x:v>0.4254333972930908</x:v>
      </x:c>
      <x:c r="N11" s="20" t="n">
        <x:v>147</x:v>
      </x:c>
      <x:c r="O11" s="20" t="str">
        <x:v>yes</x:v>
      </x:c>
    </x:row>
    <x:row r="12">
      <x:c r="A12" s="20" t="str">
        <x:v>DQ24-TB6-TH12.csv</x:v>
      </x:c>
      <x:c r="B12" s="20" t="n">
        <x:v>1</x:v>
      </x:c>
      <x:c r="C12" s="20" t="str">
        <x:v>ternary</x:v>
      </x:c>
      <x:c r="D12" s="20" t="str">
        <x:v>TBZ</x:v>
      </x:c>
      <x:c r="E12" s="23" t="n">
        <x:v>6</x:v>
      </x:c>
      <x:c r="F12" s="23" t="n">
        <x:v>15.75671609545738</x:v>
      </x:c>
      <x:c r="G12" s="23" t="n">
        <x:v>486.97350832424723</x:v>
      </x:c>
      <x:c r="H12" s="23" t="n">
        <x:v>1.0312096393078256</x:v>
      </x:c>
      <x:c r="I12" s="23" t="n">
        <x:v>4.53097533202135</x:v>
      </x:c>
      <x:c r="J12" s="23" t="n">
        <x:v>6.3122508575609215</x:v>
      </x:c>
      <x:c r="K12" s="23" t="n">
        <x:f>IF(E12&gt;0,J12/E12*100,"")</x:f>
        <x:v>105.20418095934869</x:v>
      </x:c>
      <x:c r="L12" s="23" t="n">
        <x:f>IF(E12&gt;0,ABS(J12-E12),"")</x:f>
        <x:v>0.3122508575609215</x:v>
      </x:c>
      <x:c r="M12" s="23" t="n">
        <x:v>0.7868372797966003</x:v>
      </x:c>
      <x:c r="N12" s="20" t="n">
        <x:v>147</x:v>
      </x:c>
      <x:c r="O12" s="20" t="str">
        <x:v>yes</x:v>
      </x:c>
    </x:row>
    <x:row r="13">
      <x:c r="A13" s="20" t="str">
        <x:v>DQ24-TB6-TH12.csv</x:v>
      </x:c>
      <x:c r="B13" s="20" t="n">
        <x:v>1</x:v>
      </x:c>
      <x:c r="C13" s="20" t="str">
        <x:v>ternary</x:v>
      </x:c>
      <x:c r="D13" s="20" t="str">
        <x:v>THI</x:v>
      </x:c>
      <x:c r="E13" s="23" t="n">
        <x:v>12</x:v>
      </x:c>
      <x:c r="F13" s="23" t="n">
        <x:v>26.9363985217924</x:v>
      </x:c>
      <x:c r="G13" s="23" t="n">
        <x:v>6549.154067701835</x:v>
      </x:c>
      <x:c r="H13" s="23" t="n">
        <x:v>17.04523510093007</x:v>
      </x:c>
      <x:c r="I13" s="23" t="n">
        <x:v>10.048716397266091</x:v>
      </x:c>
      <x:c r="J13" s="23" t="n">
        <x:v>10.945824024064036</x:v>
      </x:c>
      <x:c r="K13" s="23" t="n">
        <x:f>IF(E13&gt;0,J13/E13*100,"")</x:f>
        <x:v>91.21520020053363</x:v>
      </x:c>
      <x:c r="L13" s="23" t="n">
        <x:f>IF(E13&gt;0,ABS(J13-E13),"")</x:f>
        <x:v>1.054175975935964</x:v>
      </x:c>
      <x:c r="M13" s="23" t="n">
        <x:v>-0.19235453009605408</x:v>
      </x:c>
      <x:c r="N13" s="20" t="n">
        <x:v>147</x:v>
      </x:c>
      <x:c r="O13" s="20" t="str">
        <x:v>yes</x:v>
      </x:c>
    </x:row>
    <x:row r="14">
      <x:c r="A14" s="20" t="str">
        <x:v>DQ24-TB6-TH3.csv</x:v>
      </x:c>
      <x:c r="B14" s="20" t="n">
        <x:v>1</x:v>
      </x:c>
      <x:c r="C14" s="20" t="str">
        <x:v>ternary</x:v>
      </x:c>
      <x:c r="D14" s="20" t="str">
        <x:v>DQ</x:v>
      </x:c>
      <x:c r="E14" s="23" t="n">
        <x:v>24</x:v>
      </x:c>
      <x:c r="F14" s="23" t="n">
        <x:v>66.97357605932808</x:v>
      </x:c>
      <x:c r="G14" s="23" t="n">
        <x:v>6510.689623568489</x:v>
      </x:c>
      <x:c r="H14" s="23" t="n">
        <x:v>8.328288299501335</x:v>
      </x:c>
      <x:c r="I14" s="23" t="n">
        <x:v>21.463980061425495</x:v>
      </x:c>
      <x:c r="J14" s="23" t="n">
        <x:v>15.05315775896148</x:v>
      </x:c>
      <x:c r="K14" s="23" t="n">
        <x:f>IF(E14&gt;0,J14/E14*100,"")</x:f>
        <x:v>62.7214906623395</x:v>
      </x:c>
      <x:c r="L14" s="23" t="n">
        <x:f>IF(E14&gt;0,ABS(J14-E14),"")</x:f>
        <x:v>8.94684224103852</x:v>
      </x:c>
      <x:c r="M14" s="23" t="n">
        <x:v>0.257071852684021</x:v>
      </x:c>
      <x:c r="N14" s="20" t="n">
        <x:v>147</x:v>
      </x:c>
      <x:c r="O14" s="20" t="str">
        <x:v>yes</x:v>
      </x:c>
    </x:row>
    <x:row r="15">
      <x:c r="A15" s="20" t="str">
        <x:v>DQ24-TB6-TH3.csv</x:v>
      </x:c>
      <x:c r="B15" s="20" t="n">
        <x:v>1</x:v>
      </x:c>
      <x:c r="C15" s="20" t="str">
        <x:v>ternary</x:v>
      </x:c>
      <x:c r="D15" s="20" t="str">
        <x:v>TBZ</x:v>
      </x:c>
      <x:c r="E15" s="23" t="n">
        <x:v>6</x:v>
      </x:c>
      <x:c r="F15" s="23" t="n">
        <x:v>22.5745491229901</x:v>
      </x:c>
      <x:c r="G15" s="23" t="n">
        <x:v>1062.5121115769412</x:v>
      </x:c>
      <x:c r="H15" s="23" t="n">
        <x:v>1.4596116838712352</x:v>
      </x:c>
      <x:c r="I15" s="23" t="n">
        <x:v>3.690928888706514</x:v>
      </x:c>
      <x:c r="J15" s="23" t="n">
        <x:v>4.52153046246725</x:v>
      </x:c>
      <x:c r="K15" s="23" t="n">
        <x:f>IF(E15&gt;0,J15/E15*100,"")</x:f>
        <x:v>75.35884104112083</x:v>
      </x:c>
      <x:c r="L15" s="23" t="n">
        <x:f>IF(E15&gt;0,ABS(J15-E15),"")</x:f>
        <x:v>1.4784695375327503</x:v>
      </x:c>
      <x:c r="M15" s="23" t="n">
        <x:v>0.491048127412796</x:v>
      </x:c>
      <x:c r="N15" s="20" t="n">
        <x:v>147</x:v>
      </x:c>
      <x:c r="O15" s="20" t="str">
        <x:v>yes</x:v>
      </x:c>
    </x:row>
    <x:row r="16">
      <x:c r="A16" s="20" t="str">
        <x:v>DQ24-TB6-TH3.csv</x:v>
      </x:c>
      <x:c r="B16" s="20" t="n">
        <x:v>1</x:v>
      </x:c>
      <x:c r="C16" s="20" t="str">
        <x:v>ternary</x:v>
      </x:c>
      <x:c r="D16" s="20" t="str">
        <x:v>THI</x:v>
      </x:c>
      <x:c r="E16" s="23" t="n">
        <x:v>3</x:v>
      </x:c>
      <x:c r="F16" s="23" t="n">
        <x:v>10.451874817581826</x:v>
      </x:c>
      <x:c r="G16" s="23" t="n">
        <x:v>2751.073837547064</x:v>
      </x:c>
      <x:c r="H16" s="23" t="n">
        <x:v>2.5159825194139778</x:v>
      </x:c>
      <x:c r="I16" s="23" t="n">
        <x:v>2.8581671557501047</x:v>
      </x:c>
      <x:c r="J16" s="23" t="n">
        <x:v>2.5398070389823175</x:v>
      </x:c>
      <x:c r="K16" s="23" t="n">
        <x:f>IF(E16&gt;0,J16/E16*100,"")</x:f>
        <x:v>84.66023463274391</x:v>
      </x:c>
      <x:c r="L16" s="23" t="n">
        <x:f>IF(E16&gt;0,ABS(J16-E16),"")</x:f>
        <x:v>0.4601929610176825</x:v>
      </x:c>
      <x:c r="M16" s="23" t="n">
        <x:v>0.0040931180119514465</x:v>
      </x:c>
      <x:c r="N16" s="20" t="n">
        <x:v>147</x:v>
      </x:c>
      <x:c r="O16" s="20" t="str">
        <x:v>yes</x:v>
      </x:c>
    </x:row>
    <x:row r="17">
      <x:c r="A17" s="20" t="str">
        <x:v>DQ250-TB50-TH0.csv</x:v>
      </x:c>
      <x:c r="B17" s="20" t="n">
        <x:v>1</x:v>
      </x:c>
      <x:c r="C17" s="20" t="str">
        <x:v>binary</x:v>
      </x:c>
      <x:c r="D17" s="20" t="str">
        <x:v>DQ</x:v>
      </x:c>
      <x:c r="E17" s="23" t="n">
        <x:v>250</x:v>
      </x:c>
      <x:c r="F17" s="23" t="n">
        <x:v>35.25110110313842</x:v>
      </x:c>
      <x:c r="G17" s="23" t="n">
        <x:v>4619.483016189876</x:v>
      </x:c>
      <x:c r="H17" s="23" t="n">
        <x:v>3.248659000572738</x:v>
      </x:c>
      <x:c r="I17" s="23" t="n">
        <x:v>25.405707373367843</x:v>
      </x:c>
      <x:c r="J17" s="23" t="n">
        <x:v>85.01204647145428</x:v>
      </x:c>
      <x:c r="K17" s="23" t="n">
        <x:f>IF(E17&gt;0,J17/E17*100,"")</x:f>
        <x:v>34.00481858858171</x:v>
      </x:c>
      <x:c r="L17" s="23" t="n">
        <x:f>IF(E17&gt;0,ABS(J17-E17),"")</x:f>
        <x:v>164.98795352854572</x:v>
      </x:c>
      <x:c r="M17" s="23" t="n">
        <x:v>1.417776346206665</x:v>
      </x:c>
      <x:c r="N17" s="20" t="n">
        <x:v>147</x:v>
      </x:c>
      <x:c r="O17" s="20" t="str">
        <x:v>no</x:v>
      </x:c>
    </x:row>
    <x:row r="18">
      <x:c r="A18" s="20" t="str">
        <x:v>DQ250-TB50-TH0.csv</x:v>
      </x:c>
      <x:c r="B18" s="20" t="n">
        <x:v>1</x:v>
      </x:c>
      <x:c r="C18" s="20" t="str">
        <x:v>binary</x:v>
      </x:c>
      <x:c r="D18" s="20" t="str">
        <x:v>TBZ</x:v>
      </x:c>
      <x:c r="E18" s="23" t="n">
        <x:v>50</x:v>
      </x:c>
      <x:c r="F18" s="23" t="n">
        <x:v>62.437030683281634</x:v>
      </x:c>
      <x:c r="G18" s="23" t="n">
        <x:v>2884.903773233976</x:v>
      </x:c>
      <x:c r="H18" s="23" t="n">
        <x:v>4.385490985630585</x:v>
      </x:c>
      <x:c r="I18" s="23" t="n">
        <x:v>46.86258576701219</x:v>
      </x:c>
      <x:c r="J18" s="23" t="n">
        <x:v>78.2031993322657</x:v>
      </x:c>
      <x:c r="K18" s="23" t="n">
        <x:f>IF(E18&gt;0,J18/E18*100,"")</x:f>
        <x:v>156.4063986645314</x:v>
      </x:c>
      <x:c r="L18" s="23" t="n">
        <x:f>IF(E18&gt;0,ABS(J18-E18),"")</x:f>
        <x:v>28.203199332265697</x:v>
      </x:c>
      <x:c r="M18" s="23" t="n">
        <x:v>1.2512062788009644</x:v>
      </x:c>
      <x:c r="N18" s="20" t="n">
        <x:v>147</x:v>
      </x:c>
      <x:c r="O18" s="20" t="str">
        <x:v>no</x:v>
      </x:c>
    </x:row>
    <x:row r="19">
      <x:c r="A19" s="20" t="str">
        <x:v>DQ250-TB50-TH0.csv</x:v>
      </x:c>
      <x:c r="B19" s="20" t="n">
        <x:v>1</x:v>
      </x:c>
      <x:c r="C19" s="20" t="str">
        <x:v>binary</x:v>
      </x:c>
      <x:c r="D19" s="20" t="str">
        <x:v>THI</x:v>
      </x:c>
      <x:c r="E19" s="23" t="n">
        <x:v>0</x:v>
      </x:c>
      <x:c r="F19" s="23" t="n">
        <x:v>2.311868213479936</x:v>
      </x:c>
      <x:c r="G19" s="23" t="n">
        <x:v>424.5142272048314</x:v>
      </x:c>
      <x:c r="H19" s="23" t="n">
        <x:v>0.7793502667699647</x:v>
      </x:c>
      <x:c r="I19" s="23" t="n">
        <x:v>2.040961588147209</x:v>
      </x:c>
      <x:c r="J19" s="23" t="n">
        <x:v>3.0869179336053465</x:v>
      </x:c>
      <x:c r="K19" s="23" t="str">
        <x:f>IF(E19&gt;0,J19/E19*100,"")</x:f>
      </x:c>
      <x:c r="L19" s="23" t="str">
        <x:f>IF(E19&gt;0,ABS(J19-E19),"")</x:f>
      </x:c>
      <x:c r="M19" s="23" t="n">
        <x:v>0.597792387008667</x:v>
      </x:c>
      <x:c r="N19" s="20" t="n">
        <x:v>147</x:v>
      </x:c>
      <x:c r="O19" s="20" t="str">
        <x:v>no</x:v>
      </x:c>
    </x:row>
    <x:row r="20">
      <x:c r="A20" s="20" t="str">
        <x:v>DQ3-TB12-TH24.csv</x:v>
      </x:c>
      <x:c r="B20" s="20" t="n">
        <x:v>1</x:v>
      </x:c>
      <x:c r="C20" s="20" t="str">
        <x:v>ternary</x:v>
      </x:c>
      <x:c r="D20" s="20" t="str">
        <x:v>DQ</x:v>
      </x:c>
      <x:c r="E20" s="23" t="n">
        <x:v>3</x:v>
      </x:c>
      <x:c r="F20" s="23" t="n">
        <x:v>17.828231844640953</x:v>
      </x:c>
      <x:c r="G20" s="23" t="n">
        <x:v>2745.4215038535312</x:v>
      </x:c>
      <x:c r="H20" s="23" t="n">
        <x:v>1.2780829075401565</x:v>
      </x:c>
      <x:c r="I20" s="23" t="n">
        <x:v>10.165091866122879</x:v>
      </x:c>
      <x:c r="J20" s="23" t="n">
        <x:v>8.830339306176143</x:v>
      </x:c>
      <x:c r="K20" s="23" t="n">
        <x:f>IF(E20&gt;0,J20/E20*100,"")</x:f>
        <x:v>294.34464353920475</x:v>
      </x:c>
      <x:c r="L20" s="23" t="n">
        <x:f>IF(E20&gt;0,ABS(J20-E20),"")</x:f>
        <x:v>5.830339306176143</x:v>
      </x:c>
      <x:c r="M20" s="23" t="n">
        <x:v>0.839418351650238</x:v>
      </x:c>
      <x:c r="N20" s="20" t="n">
        <x:v>147</x:v>
      </x:c>
      <x:c r="O20" s="20" t="str">
        <x:v>yes</x:v>
      </x:c>
    </x:row>
    <x:row r="21">
      <x:c r="A21" s="20" t="str">
        <x:v>DQ3-TB12-TH24.csv</x:v>
      </x:c>
      <x:c r="B21" s="20" t="n">
        <x:v>1</x:v>
      </x:c>
      <x:c r="C21" s="20" t="str">
        <x:v>ternary</x:v>
      </x:c>
      <x:c r="D21" s="20" t="str">
        <x:v>TBZ</x:v>
      </x:c>
      <x:c r="E21" s="23" t="n">
        <x:v>12</x:v>
      </x:c>
      <x:c r="F21" s="23" t="n">
        <x:v>20.997951769236924</x:v>
      </x:c>
      <x:c r="G21" s="23" t="n">
        <x:v>473.85837096921955</x:v>
      </x:c>
      <x:c r="H21" s="23" t="n">
        <x:v>1.023077506300103</x:v>
      </x:c>
      <x:c r="I21" s="23" t="n">
        <x:v>10.961333882418236</x:v>
      </x:c>
      <x:c r="J21" s="23" t="n">
        <x:v>10.660127180424926</x:v>
      </x:c>
      <x:c r="K21" s="23" t="n">
        <x:f>IF(E21&gt;0,J21/E21*100,"")</x:f>
        <x:v>88.83439317020772</x:v>
      </x:c>
      <x:c r="L21" s="23" t="n">
        <x:f>IF(E21&gt;0,ABS(J21-E21),"")</x:f>
        <x:v>1.3398728195750742</x:v>
      </x:c>
      <x:c r="M21" s="23" t="n">
        <x:v>1.017853856086731</x:v>
      </x:c>
      <x:c r="N21" s="20" t="n">
        <x:v>147</x:v>
      </x:c>
      <x:c r="O21" s="20" t="str">
        <x:v>yes</x:v>
      </x:c>
    </x:row>
    <x:row r="22">
      <x:c r="A22" s="20" t="str">
        <x:v>DQ3-TB12-TH24.csv</x:v>
      </x:c>
      <x:c r="B22" s="20" t="n">
        <x:v>1</x:v>
      </x:c>
      <x:c r="C22" s="20" t="str">
        <x:v>ternary</x:v>
      </x:c>
      <x:c r="D22" s="20" t="str">
        <x:v>THI</x:v>
      </x:c>
      <x:c r="E22" s="23" t="n">
        <x:v>24</x:v>
      </x:c>
      <x:c r="F22" s="23" t="n">
        <x:v>61.173816386022125</x:v>
      </x:c>
      <x:c r="G22" s="23" t="n">
        <x:v>7757.863447480998</x:v>
      </x:c>
      <x:c r="H22" s="23" t="n">
        <x:v>31.334946824910368</x:v>
      </x:c>
      <x:c r="I22" s="23" t="n">
        <x:v>34.394256652988275</x:v>
      </x:c>
      <x:c r="J22" s="23" t="n">
        <x:v>34.26695761045456</x:v>
      </x:c>
      <x:c r="K22" s="23" t="n">
        <x:f>IF(E22&gt;0,J22/E22*100,"")</x:f>
        <x:v>142.77899004356067</x:v>
      </x:c>
      <x:c r="L22" s="23" t="n">
        <x:f>IF(E22&gt;0,ABS(J22-E22),"")</x:f>
        <x:v>10.266957610454561</x:v>
      </x:c>
      <x:c r="M22" s="23" t="n">
        <x:v>0.03884658217430115</x:v>
      </x:c>
      <x:c r="N22" s="20" t="n">
        <x:v>147</x:v>
      </x:c>
      <x:c r="O22" s="20" t="str">
        <x:v>yes</x:v>
      </x:c>
    </x:row>
    <x:row r="23">
      <x:c r="A23" s="20" t="str">
        <x:v>DQ3-TB24-TH12.csv</x:v>
      </x:c>
      <x:c r="B23" s="20" t="n">
        <x:v>1</x:v>
      </x:c>
      <x:c r="C23" s="20" t="str">
        <x:v>ternary</x:v>
      </x:c>
      <x:c r="D23" s="20" t="str">
        <x:v>DQ</x:v>
      </x:c>
      <x:c r="E23" s="23" t="n">
        <x:v>3</x:v>
      </x:c>
      <x:c r="F23" s="23" t="n">
        <x:v>12.392857627725645</x:v>
      </x:c>
      <x:c r="G23" s="23" t="n">
        <x:v>6607.492495098864</x:v>
      </x:c>
      <x:c r="H23" s="23" t="n">
        <x:v>8.739430579247111</x:v>
      </x:c>
      <x:c r="I23" s="23" t="n">
        <x:v>8.480383693768282</x:v>
      </x:c>
      <x:c r="J23" s="23" t="n">
        <x:v>5.7350940026130415</x:v>
      </x:c>
      <x:c r="K23" s="23" t="n">
        <x:f>IF(E23&gt;0,J23/E23*100,"")</x:f>
        <x:v>191.16980008710138</x:v>
      </x:c>
      <x:c r="L23" s="23" t="n">
        <x:f>IF(E23&gt;0,ABS(J23-E23),"")</x:f>
        <x:v>2.7350940026130415</x:v>
      </x:c>
      <x:c r="M23" s="23" t="n">
        <x:v>-0.18294258415699005</x:v>
      </x:c>
      <x:c r="N23" s="20" t="n">
        <x:v>147</x:v>
      </x:c>
      <x:c r="O23" s="20" t="str">
        <x:v>yes</x:v>
      </x:c>
    </x:row>
    <x:row r="24">
      <x:c r="A24" s="20" t="str">
        <x:v>DQ3-TB24-TH12.csv</x:v>
      </x:c>
      <x:c r="B24" s="20" t="n">
        <x:v>1</x:v>
      </x:c>
      <x:c r="C24" s="20" t="str">
        <x:v>ternary</x:v>
      </x:c>
      <x:c r="D24" s="20" t="str">
        <x:v>TBZ</x:v>
      </x:c>
      <x:c r="E24" s="23" t="n">
        <x:v>24</x:v>
      </x:c>
      <x:c r="F24" s="23" t="n">
        <x:v>67.13292276206424</x:v>
      </x:c>
      <x:c r="G24" s="23" t="n">
        <x:v>4675.4429954448315</x:v>
      </x:c>
      <x:c r="H24" s="23" t="n">
        <x:v>12.92552767866398</x:v>
      </x:c>
      <x:c r="I24" s="23" t="n">
        <x:v>61.4124251214526</x:v>
      </x:c>
      <x:c r="J24" s="23" t="n">
        <x:v>40.20178882429861</x:v>
      </x:c>
      <x:c r="K24" s="23" t="n">
        <x:f>IF(E24&gt;0,J24/E24*100,"")</x:f>
        <x:v>167.50745343457754</x:v>
      </x:c>
      <x:c r="L24" s="23" t="n">
        <x:f>IF(E24&gt;0,ABS(J24-E24),"")</x:f>
        <x:v>16.20178882429861</x:v>
      </x:c>
      <x:c r="M24" s="23" t="n">
        <x:v>0.4927971065044403</x:v>
      </x:c>
      <x:c r="N24" s="20" t="n">
        <x:v>147</x:v>
      </x:c>
      <x:c r="O24" s="20" t="str">
        <x:v>yes</x:v>
      </x:c>
    </x:row>
    <x:row r="25">
      <x:c r="A25" s="20" t="str">
        <x:v>DQ3-TB24-TH12.csv</x:v>
      </x:c>
      <x:c r="B25" s="20" t="n">
        <x:v>1</x:v>
      </x:c>
      <x:c r="C25" s="20" t="str">
        <x:v>ternary</x:v>
      </x:c>
      <x:c r="D25" s="20" t="str">
        <x:v>THI</x:v>
      </x:c>
      <x:c r="E25" s="23" t="n">
        <x:v>12</x:v>
      </x:c>
      <x:c r="F25" s="23" t="n">
        <x:v>20.47421961011012</x:v>
      </x:c>
      <x:c r="G25" s="23" t="n">
        <x:v>3980.0220017074216</x:v>
      </x:c>
      <x:c r="H25" s="23" t="n">
        <x:v>4.672627578154715</x:v>
      </x:c>
      <x:c r="I25" s="23" t="n">
        <x:v>7.699558134473021</x:v>
      </x:c>
      <x:c r="J25" s="23" t="n">
        <x:v>9.268297188289246</x:v>
      </x:c>
      <x:c r="K25" s="23" t="n">
        <x:f>IF(E25&gt;0,J25/E25*100,"")</x:f>
        <x:v>77.23580990241038</x:v>
      </x:c>
      <x:c r="L25" s="23" t="n">
        <x:f>IF(E25&gt;0,ABS(J25-E25),"")</x:f>
        <x:v>2.731702811710754</x:v>
      </x:c>
      <x:c r="M25" s="23" t="n">
        <x:v>0.29743877053260803</x:v>
      </x:c>
      <x:c r="N25" s="20" t="n">
        <x:v>147</x:v>
      </x:c>
      <x:c r="O25" s="20" t="str">
        <x:v>yes</x:v>
      </x:c>
    </x:row>
    <x:row r="26">
      <x:c r="A26" s="20" t="str">
        <x:v>DQ3-TB24-TH24.csv</x:v>
      </x:c>
      <x:c r="B26" s="20" t="n">
        <x:v>1</x:v>
      </x:c>
      <x:c r="C26" s="20" t="str">
        <x:v>ternary</x:v>
      </x:c>
      <x:c r="D26" s="20" t="str">
        <x:v>DQ</x:v>
      </x:c>
      <x:c r="E26" s="23" t="n">
        <x:v>3</x:v>
      </x:c>
      <x:c r="F26" s="23" t="n">
        <x:v>20.846631864304936</x:v>
      </x:c>
      <x:c r="G26" s="23" t="n">
        <x:v>4263.2290313829035</x:v>
      </x:c>
      <x:c r="H26" s="23" t="n">
        <x:v>2.7207406682709996</x:v>
      </x:c>
      <x:c r="I26" s="23" t="n">
        <x:v>11.251636700296519</x:v>
      </x:c>
      <x:c r="J26" s="23" t="n">
        <x:v>9.32719647200166</x:v>
      </x:c>
      <x:c r="K26" s="23" t="n">
        <x:f>IF(E26&gt;0,J26/E26*100,"")</x:f>
        <x:v>310.906549066722</x:v>
      </x:c>
      <x:c r="L26" s="23" t="n">
        <x:f>IF(E26&gt;0,ABS(J26-E26),"")</x:f>
        <x:v>6.32719647200166</x:v>
      </x:c>
      <x:c r="M26" s="23" t="n">
        <x:v>0.5350639820098877</x:v>
      </x:c>
      <x:c r="N26" s="20" t="n">
        <x:v>147</x:v>
      </x:c>
      <x:c r="O26" s="20" t="str">
        <x:v>yes</x:v>
      </x:c>
    </x:row>
    <x:row r="27">
      <x:c r="A27" s="20" t="str">
        <x:v>DQ3-TB24-TH24.csv</x:v>
      </x:c>
      <x:c r="B27" s="20" t="n">
        <x:v>1</x:v>
      </x:c>
      <x:c r="C27" s="20" t="str">
        <x:v>ternary</x:v>
      </x:c>
      <x:c r="D27" s="20" t="str">
        <x:v>TBZ</x:v>
      </x:c>
      <x:c r="E27" s="23" t="n">
        <x:v>24</x:v>
      </x:c>
      <x:c r="F27" s="23" t="n">
        <x:v>41.56852499035942</x:v>
      </x:c>
      <x:c r="G27" s="23" t="n">
        <x:v>2247.8276762481037</x:v>
      </x:c>
      <x:c r="H27" s="23" t="n">
        <x:v>2.985344260468774</x:v>
      </x:c>
      <x:c r="I27" s="23" t="n">
        <x:v>30.414151246091308</x:v>
      </x:c>
      <x:c r="J27" s="23" t="n">
        <x:v>17.60494757733766</x:v>
      </x:c>
      <x:c r="K27" s="23" t="n">
        <x:f>IF(E27&gt;0,J27/E27*100,"")</x:f>
        <x:v>73.35394823890692</x:v>
      </x:c>
      <x:c r="L27" s="23" t="n">
        <x:f>IF(E27&gt;0,ABS(J27-E27),"")</x:f>
        <x:v>6.395052422662339</x:v>
      </x:c>
      <x:c r="M27" s="23" t="n">
        <x:v>0.7706403136253357</x:v>
      </x:c>
      <x:c r="N27" s="20" t="n">
        <x:v>147</x:v>
      </x:c>
      <x:c r="O27" s="20" t="str">
        <x:v>yes</x:v>
      </x:c>
    </x:row>
    <x:row r="28">
      <x:c r="A28" s="20" t="str">
        <x:v>DQ3-TB24-TH24.csv</x:v>
      </x:c>
      <x:c r="B28" s="20" t="n">
        <x:v>1</x:v>
      </x:c>
      <x:c r="C28" s="20" t="str">
        <x:v>ternary</x:v>
      </x:c>
      <x:c r="D28" s="20" t="str">
        <x:v>THI</x:v>
      </x:c>
      <x:c r="E28" s="23" t="n">
        <x:v>24</x:v>
      </x:c>
      <x:c r="F28" s="23" t="n">
        <x:v>37.58484314523565</x:v>
      </x:c>
      <x:c r="G28" s="23" t="n">
        <x:v>8259.267343324633</x:v>
      </x:c>
      <x:c r="H28" s="23" t="n">
        <x:v>40.33849475009494</x:v>
      </x:c>
      <x:c r="I28" s="23" t="n">
        <x:v>24.60880411412844</x:v>
      </x:c>
      <x:c r="J28" s="23" t="n">
        <x:v>19.24382059763471</x:v>
      </x:c>
      <x:c r="K28" s="23" t="n">
        <x:f>IF(E28&gt;0,J28/E28*100,"")</x:f>
        <x:v>80.18258582347796</x:v>
      </x:c>
      <x:c r="L28" s="23" t="n">
        <x:f>IF(E28&gt;0,ABS(J28-E28),"")</x:f>
        <x:v>4.756179402365291</x:v>
      </x:c>
      <x:c r="M28" s="23" t="n">
        <x:v>-0.3214283883571625</x:v>
      </x:c>
      <x:c r="N28" s="20" t="n">
        <x:v>147</x:v>
      </x:c>
      <x:c r="O28" s="20" t="str">
        <x:v>yes</x:v>
      </x:c>
    </x:row>
    <x:row r="29">
      <x:c r="A29" s="20" t="str">
        <x:v>DQ3-TB3-TH24.csv</x:v>
      </x:c>
      <x:c r="B29" s="20" t="n">
        <x:v>1</x:v>
      </x:c>
      <x:c r="C29" s="20" t="str">
        <x:v>ternary</x:v>
      </x:c>
      <x:c r="D29" s="20" t="str">
        <x:v>DQ</x:v>
      </x:c>
      <x:c r="E29" s="23" t="n">
        <x:v>3</x:v>
      </x:c>
      <x:c r="F29" s="23" t="n">
        <x:v>6.722496445303229</x:v>
      </x:c>
      <x:c r="G29" s="23" t="n">
        <x:v>2375.8033447214557</x:v>
      </x:c>
      <x:c r="H29" s="23" t="n">
        <x:v>1.0632928797554062</x:v>
      </x:c>
      <x:c r="I29" s="23" t="n">
        <x:v>8.158624682285973</x:v>
      </x:c>
      <x:c r="J29" s="23" t="n">
        <x:v>8.351812706541054</x:v>
      </x:c>
      <x:c r="K29" s="23" t="n">
        <x:f>IF(E29&gt;0,J29/E29*100,"")</x:f>
        <x:v>278.39375688470176</x:v>
      </x:c>
      <x:c r="L29" s="23" t="n">
        <x:f>IF(E29&gt;0,ABS(J29-E29),"")</x:f>
        <x:v>5.351812706541054</x:v>
      </x:c>
      <x:c r="M29" s="23" t="n">
        <x:v>0.8951278328895569</x:v>
      </x:c>
      <x:c r="N29" s="20" t="n">
        <x:v>147</x:v>
      </x:c>
      <x:c r="O29" s="20" t="str">
        <x:v>yes</x:v>
      </x:c>
    </x:row>
    <x:row r="30">
      <x:c r="A30" s="20" t="str">
        <x:v>DQ3-TB3-TH24.csv</x:v>
      </x:c>
      <x:c r="B30" s="20" t="n">
        <x:v>1</x:v>
      </x:c>
      <x:c r="C30" s="20" t="str">
        <x:v>ternary</x:v>
      </x:c>
      <x:c r="D30" s="20" t="str">
        <x:v>TBZ</x:v>
      </x:c>
      <x:c r="E30" s="23" t="n">
        <x:v>3</x:v>
      </x:c>
      <x:c r="F30" s="23" t="n">
        <x:v>13.594083770692695</x:v>
      </x:c>
      <x:c r="G30" s="23" t="n">
        <x:v>776.5163675537406</x:v>
      </x:c>
      <x:c r="H30" s="23" t="n">
        <x:v>1.2281661558206998</x:v>
      </x:c>
      <x:c r="I30" s="23" t="n">
        <x:v>14.377550592190497</x:v>
      </x:c>
      <x:c r="J30" s="23" t="n">
        <x:v>17.016533173045197</x:v>
      </x:c>
      <x:c r="K30" s="23" t="n">
        <x:f>IF(E30&gt;0,J30/E30*100,"")</x:f>
        <x:v>567.2177724348398</x:v>
      </x:c>
      <x:c r="L30" s="23" t="n">
        <x:f>IF(E30&gt;0,ABS(J30-E30),"")</x:f>
        <x:v>14.016533173045197</x:v>
      </x:c>
      <x:c r="M30" s="23" t="n">
        <x:v>1.1416139602661133</x:v>
      </x:c>
      <x:c r="N30" s="20" t="n">
        <x:v>147</x:v>
      </x:c>
      <x:c r="O30" s="20" t="str">
        <x:v>yes</x:v>
      </x:c>
    </x:row>
    <x:row r="31">
      <x:c r="A31" s="20" t="str">
        <x:v>DQ3-TB3-TH24.csv</x:v>
      </x:c>
      <x:c r="B31" s="20" t="n">
        <x:v>1</x:v>
      </x:c>
      <x:c r="C31" s="20" t="str">
        <x:v>ternary</x:v>
      </x:c>
      <x:c r="D31" s="20" t="str">
        <x:v>THI</x:v>
      </x:c>
      <x:c r="E31" s="23" t="n">
        <x:v>24</x:v>
      </x:c>
      <x:c r="F31" s="23" t="n">
        <x:v>79.68341978390406</x:v>
      </x:c>
      <x:c r="G31" s="23" t="n">
        <x:v>12411.684464621654</x:v>
      </x:c>
      <x:c r="H31" s="23" t="n">
        <x:v>100</x:v>
      </x:c>
      <x:c r="I31" s="23" t="n">
        <x:v>65.45273975576069</x:v>
      </x:c>
      <x:c r="J31" s="23" t="n">
        <x:v>52.927619218826294</x:v>
      </x:c>
      <x:c r="K31" s="23" t="n">
        <x:f>IF(E31&gt;0,J31/E31*100,"")</x:f>
        <x:v>220.53174674510956</x:v>
      </x:c>
      <x:c r="L31" s="23" t="n">
        <x:f>IF(E31&gt;0,ABS(J31-E31),"")</x:f>
        <x:v>28.927619218826294</x:v>
      </x:c>
      <x:c r="M31" s="23" t="n">
        <x:v>-0.27631762623786926</x:v>
      </x:c>
      <x:c r="N31" s="20" t="n">
        <x:v>147</x:v>
      </x:c>
      <x:c r="O31" s="20" t="str">
        <x:v>yes</x:v>
      </x:c>
    </x:row>
    <x:row r="32">
      <x:c r="A32" s="20" t="str">
        <x:v>DQ3-TB3-TH6.csv</x:v>
      </x:c>
      <x:c r="B32" s="20" t="n">
        <x:v>1</x:v>
      </x:c>
      <x:c r="C32" s="20" t="str">
        <x:v>ternary</x:v>
      </x:c>
      <x:c r="D32" s="20" t="str">
        <x:v>DQ</x:v>
      </x:c>
      <x:c r="E32" s="23" t="n">
        <x:v>3</x:v>
      </x:c>
      <x:c r="F32" s="23" t="n">
        <x:v>14.159354613117575</x:v>
      </x:c>
      <x:c r="G32" s="23" t="n">
        <x:v>4694.797972663273</x:v>
      </x:c>
      <x:c r="H32" s="23" t="n">
        <x:v>3.372765416486203</x:v>
      </x:c>
      <x:c r="I32" s="23" t="n">
        <x:v>5.679499522783123</x:v>
      </x:c>
      <x:c r="J32" s="23" t="n">
        <x:v>3.3667105190837288</x:v>
      </x:c>
      <x:c r="K32" s="23" t="n">
        <x:f>IF(E32&gt;0,J32/E32*100,"")</x:f>
        <x:v>112.22368396945764</x:v>
      </x:c>
      <x:c r="L32" s="23" t="n">
        <x:f>IF(E32&gt;0,ABS(J32-E32),"")</x:f>
        <x:v>0.36671051908372876</x:v>
      </x:c>
      <x:c r="M32" s="23" t="n">
        <x:v>-0.0007803589105606079</x:v>
      </x:c>
      <x:c r="N32" s="20" t="n">
        <x:v>147</x:v>
      </x:c>
      <x:c r="O32" s="20" t="str">
        <x:v>yes</x:v>
      </x:c>
    </x:row>
    <x:row r="33">
      <x:c r="A33" s="20" t="str">
        <x:v>DQ3-TB3-TH6.csv</x:v>
      </x:c>
      <x:c r="B33" s="20" t="n">
        <x:v>1</x:v>
      </x:c>
      <x:c r="C33" s="20" t="str">
        <x:v>ternary</x:v>
      </x:c>
      <x:c r="D33" s="20" t="str">
        <x:v>TBZ</x:v>
      </x:c>
      <x:c r="E33" s="23" t="n">
        <x:v>3</x:v>
      </x:c>
      <x:c r="F33" s="23" t="n">
        <x:v>42.73752434559835</x:v>
      </x:c>
      <x:c r="G33" s="23" t="n">
        <x:v>719.0435202172188</x:v>
      </x:c>
      <x:c r="H33" s="23" t="n">
        <x:v>1.1862857898511383</x:v>
      </x:c>
      <x:c r="I33" s="23" t="n">
        <x:v>7.36855969426807</x:v>
      </x:c>
      <x:c r="J33" s="23" t="n">
        <x:v>4.724376460606844</x:v>
      </x:c>
      <x:c r="K33" s="23" t="n">
        <x:f>IF(E33&gt;0,J33/E33*100,"")</x:f>
        <x:v>157.47921535356147</x:v>
      </x:c>
      <x:c r="L33" s="23" t="n">
        <x:f>IF(E33&gt;0,ABS(J33-E33),"")</x:f>
        <x:v>1.7243764606068437</x:v>
      </x:c>
      <x:c r="M33" s="23" t="n">
        <x:v>0.6001551747322083</x:v>
      </x:c>
      <x:c r="N33" s="20" t="n">
        <x:v>147</x:v>
      </x:c>
      <x:c r="O33" s="20" t="str">
        <x:v>yes</x:v>
      </x:c>
    </x:row>
    <x:row r="34">
      <x:c r="A34" s="20" t="str">
        <x:v>DQ3-TB3-TH6.csv</x:v>
      </x:c>
      <x:c r="B34" s="20" t="n">
        <x:v>1</x:v>
      </x:c>
      <x:c r="C34" s="20" t="str">
        <x:v>ternary</x:v>
      </x:c>
      <x:c r="D34" s="20" t="str">
        <x:v>THI</x:v>
      </x:c>
      <x:c r="E34" s="23" t="n">
        <x:v>6</x:v>
      </x:c>
      <x:c r="F34" s="23" t="n">
        <x:v>43.10312104118406</x:v>
      </x:c>
      <x:c r="G34" s="23" t="n">
        <x:v>5314.19522540205</x:v>
      </x:c>
      <x:c r="H34" s="23" t="n">
        <x:v>9.15028261794114</x:v>
      </x:c>
      <x:c r="I34" s="23" t="n">
        <x:v>10.340901944369339</x:v>
      </x:c>
      <x:c r="J34" s="23" t="n">
        <x:v>7.329467449935085</x:v>
      </x:c>
      <x:c r="K34" s="23" t="n">
        <x:f>IF(E34&gt;0,J34/E34*100,"")</x:f>
        <x:v>122.15779083225142</x:v>
      </x:c>
      <x:c r="L34" s="23" t="n">
        <x:f>IF(E34&gt;0,ABS(J34-E34),"")</x:f>
        <x:v>1.329467449935085</x:v>
      </x:c>
      <x:c r="M34" s="23" t="n">
        <x:v>-0.09636207669973373</x:v>
      </x:c>
      <x:c r="N34" s="20" t="n">
        <x:v>147</x:v>
      </x:c>
      <x:c r="O34" s="20" t="str">
        <x:v>yes</x:v>
      </x:c>
    </x:row>
    <x:row r="35">
      <x:c r="A35" s="20" t="str">
        <x:v>DQ333-TB333-TH333.csv</x:v>
      </x:c>
      <x:c r="B35" s="20" t="n">
        <x:v>1</x:v>
      </x:c>
      <x:c r="C35" s="20" t="str">
        <x:v>ternary</x:v>
      </x:c>
      <x:c r="D35" s="20" t="str">
        <x:v>DQ</x:v>
      </x:c>
      <x:c r="E35" s="23" t="n">
        <x:v>333</x:v>
      </x:c>
      <x:c r="F35" s="23" t="n">
        <x:v>15.495808069155226</x:v>
      </x:c>
      <x:c r="G35" s="23" t="n">
        <x:v>734.3301657831861</x:v>
      </x:c>
      <x:c r="H35" s="23" t="n">
        <x:v>0.4696670057814138</x:v>
      </x:c>
      <x:c r="I35" s="23" t="n">
        <x:v>38.81604779671334</x:v>
      </x:c>
      <x:c r="J35" s="23" t="n">
        <x:v>46.96670057814138</x:v>
      </x:c>
      <x:c r="K35" s="23" t="n">
        <x:f>IF(E35&gt;0,J35/E35*100,"")</x:f>
        <x:v>14.104114287730143</x:v>
      </x:c>
      <x:c r="L35" s="23" t="n">
        <x:f>IF(E35&gt;0,ABS(J35-E35),"")</x:f>
        <x:v>286.0332994218586</x:v>
      </x:c>
      <x:c r="M35" s="23" t="n">
        <x:v>2.1526145935058594</x:v>
      </x:c>
      <x:c r="N35" s="20" t="n">
        <x:v>147</x:v>
      </x:c>
      <x:c r="O35" s="20" t="str">
        <x:v>no</x:v>
      </x:c>
    </x:row>
    <x:row r="36">
      <x:c r="A36" s="20" t="str">
        <x:v>DQ333-TB333-TH333.csv</x:v>
      </x:c>
      <x:c r="B36" s="20" t="n">
        <x:v>1</x:v>
      </x:c>
      <x:c r="C36" s="20" t="str">
        <x:v>ternary</x:v>
      </x:c>
      <x:c r="D36" s="20" t="str">
        <x:v>TBZ</x:v>
      </x:c>
      <x:c r="E36" s="23" t="n">
        <x:v>333</x:v>
      </x:c>
      <x:c r="F36" s="23" t="n">
        <x:v>11.973200455166552</x:v>
      </x:c>
      <x:c r="G36" s="23" t="n">
        <x:v>277.0371015878344</x:v>
      </x:c>
      <x:c r="H36" s="23" t="n">
        <x:v>0.9084633709209446</x:v>
      </x:c>
      <x:c r="I36" s="23" t="n">
        <x:v>38.61906725237634</x:v>
      </x:c>
      <x:c r="J36" s="23" t="n">
        <x:v>81.45746601970619</x:v>
      </x:c>
      <x:c r="K36" s="23" t="n">
        <x:f>IF(E36&gt;0,J36/E36*100,"")</x:f>
        <x:v>24.461701507419274</x:v>
      </x:c>
      <x:c r="L36" s="23" t="n">
        <x:f>IF(E36&gt;0,ABS(J36-E36),"")</x:f>
        <x:v>251.5425339802938</x:v>
      </x:c>
      <x:c r="M36" s="23" t="n">
        <x:v>1.9526234865188599</x:v>
      </x:c>
      <x:c r="N36" s="20" t="n">
        <x:v>147</x:v>
      </x:c>
      <x:c r="O36" s="20" t="str">
        <x:v>no</x:v>
      </x:c>
    </x:row>
    <x:row r="37">
      <x:c r="A37" s="20" t="str">
        <x:v>DQ333-TB333-TH333.csv</x:v>
      </x:c>
      <x:c r="B37" s="20" t="n">
        <x:v>1</x:v>
      </x:c>
      <x:c r="C37" s="20" t="str">
        <x:v>ternary</x:v>
      </x:c>
      <x:c r="D37" s="20" t="str">
        <x:v>THI</x:v>
      </x:c>
      <x:c r="E37" s="23" t="n">
        <x:v>333</x:v>
      </x:c>
      <x:c r="F37" s="23" t="n">
        <x:v>72.53099147557822</x:v>
      </x:c>
      <x:c r="G37" s="23" t="n">
        <x:v>13288.099136270246</x:v>
      </x:c>
      <x:c r="H37" s="23" t="n">
        <x:v>100</x:v>
      </x:c>
      <x:c r="I37" s="23" t="n">
        <x:v>207.05463272030647</x:v>
      </x:c>
      <x:c r="J37" s="23" t="n">
        <x:v>437.71963119506836</x:v>
      </x:c>
      <x:c r="K37" s="23" t="n">
        <x:f>IF(E37&gt;0,J37/E37*100,"")</x:f>
        <x:v>131.44733669521574</x:v>
      </x:c>
      <x:c r="L37" s="23" t="n">
        <x:f>IF(E37&gt;0,ABS(J37-E37),"")</x:f>
        <x:v>104.71963119506836</x:v>
      </x:c>
      <x:c r="M37" s="23" t="n">
        <x:v>0.6411960124969482</x:v>
      </x:c>
      <x:c r="N37" s="20" t="n">
        <x:v>147</x:v>
      </x:c>
      <x:c r="O37" s="20" t="str">
        <x:v>no</x:v>
      </x:c>
    </x:row>
    <x:row r="38">
      <x:c r="A38" s="20" t="str">
        <x:v>DQ50-TB0-TH150.csv</x:v>
      </x:c>
      <x:c r="B38" s="20" t="n">
        <x:v>1</x:v>
      </x:c>
      <x:c r="C38" s="20" t="str">
        <x:v>binary</x:v>
      </x:c>
      <x:c r="D38" s="20" t="str">
        <x:v>DQ</x:v>
      </x:c>
      <x:c r="E38" s="23" t="n">
        <x:v>50</x:v>
      </x:c>
      <x:c r="F38" s="23" t="n">
        <x:v>0.2861515745605845</x:v>
      </x:c>
      <x:c r="G38" s="23" t="n">
        <x:v>364.264987082139</x:v>
      </x:c>
      <x:c r="H38" s="23" t="n">
        <x:v>0.3906495169291329</x:v>
      </x:c>
      <x:c r="I38" s="23" t="n">
        <x:v>29.50527074496877</x:v>
      </x:c>
      <x:c r="J38" s="23" t="n">
        <x:v>34.26956733388277</x:v>
      </x:c>
      <x:c r="K38" s="23" t="n">
        <x:f>IF(E38&gt;0,J38/E38*100,"")</x:f>
        <x:v>68.53913466776554</x:v>
      </x:c>
      <x:c r="L38" s="23" t="n">
        <x:f>IF(E38&gt;0,ABS(J38-E38),"")</x:f>
        <x:v>15.730432666117231</x:v>
      </x:c>
      <x:c r="M38" s="23" t="n">
        <x:v>1.943121314048767</x:v>
      </x:c>
      <x:c r="N38" s="20" t="n">
        <x:v>147</x:v>
      </x:c>
      <x:c r="O38" s="20" t="str">
        <x:v>no</x:v>
      </x:c>
    </x:row>
    <x:row r="39">
      <x:c r="A39" s="20" t="str">
        <x:v>DQ50-TB0-TH150.csv</x:v>
      </x:c>
      <x:c r="B39" s="20" t="n">
        <x:v>1</x:v>
      </x:c>
      <x:c r="C39" s="20" t="str">
        <x:v>binary</x:v>
      </x:c>
      <x:c r="D39" s="20" t="str">
        <x:v>TBZ</x:v>
      </x:c>
      <x:c r="E39" s="23" t="n">
        <x:v>0</x:v>
      </x:c>
      <x:c r="F39" s="23" t="n">
        <x:v>1.9540437356908968</x:v>
      </x:c>
      <x:c r="G39" s="23" t="n">
        <x:v>319.3251251967805</x:v>
      </x:c>
      <x:c r="H39" s="23" t="n">
        <x:v>0.9319533551499946</x:v>
      </x:c>
      <x:c r="I39" s="23" t="n">
        <x:v>35.973821242658545</x:v>
      </x:c>
      <x:c r="J39" s="23" t="n">
        <x:v>50.13739755896591</x:v>
      </x:c>
      <x:c r="K39" s="23" t="str">
        <x:f>IF(E39&gt;0,J39/E39*100,"")</x:f>
      </x:c>
      <x:c r="L39" s="23" t="str">
        <x:f>IF(E39&gt;0,ABS(J39-E39),"")</x:f>
      </x:c>
      <x:c r="M39" s="23" t="n">
        <x:v>1.7307676076889038</x:v>
      </x:c>
      <x:c r="N39" s="20" t="n">
        <x:v>147</x:v>
      </x:c>
      <x:c r="O39" s="20" t="str">
        <x:v>no</x:v>
      </x:c>
    </x:row>
    <x:row r="40">
      <x:c r="A40" s="20" t="str">
        <x:v>DQ50-TB0-TH150.csv</x:v>
      </x:c>
      <x:c r="B40" s="20" t="n">
        <x:v>1</x:v>
      </x:c>
      <x:c r="C40" s="20" t="str">
        <x:v>binary</x:v>
      </x:c>
      <x:c r="D40" s="20" t="str">
        <x:v>THI</x:v>
      </x:c>
      <x:c r="E40" s="23" t="n">
        <x:v>150</x:v>
      </x:c>
      <x:c r="F40" s="23" t="n">
        <x:v>97.75980468964852</x:v>
      </x:c>
      <x:c r="G40" s="23" t="n">
        <x:v>16596.073316288388</x:v>
      </x:c>
      <x:c r="H40" s="23" t="n">
        <x:v>100</x:v>
      </x:c>
      <x:c r="I40" s="23" t="n">
        <x:v>322.784332544695</x:v>
      </x:c>
      <x:c r="J40" s="23" t="n">
        <x:v>478.9078712463379</x:v>
      </x:c>
      <x:c r="K40" s="23" t="n">
        <x:f>IF(E40&gt;0,J40/E40*100,"")</x:f>
        <x:v>319.2719141642252</x:v>
      </x:c>
      <x:c r="L40" s="23" t="n">
        <x:f>IF(E40&gt;0,ABS(J40-E40),"")</x:f>
        <x:v>328.9078712463379</x:v>
      </x:c>
      <x:c r="M40" s="23" t="n">
        <x:v>0.680251955986023</x:v>
      </x:c>
      <x:c r="N40" s="20" t="n">
        <x:v>147</x:v>
      </x:c>
      <x:c r="O40" s="20" t="str">
        <x:v>no</x:v>
      </x:c>
    </x:row>
    <x:row r="41">
      <x:c r="A41" s="20" t="str">
        <x:v>DQ50-TB0-TH250.csv</x:v>
      </x:c>
      <x:c r="B41" s="20" t="n">
        <x:v>1</x:v>
      </x:c>
      <x:c r="C41" s="20" t="str">
        <x:v>binary</x:v>
      </x:c>
      <x:c r="D41" s="20" t="str">
        <x:v>DQ</x:v>
      </x:c>
      <x:c r="E41" s="23" t="n">
        <x:v>50</x:v>
      </x:c>
      <x:c r="F41" s="23" t="n">
        <x:v>1.9532848938728844</x:v>
      </x:c>
      <x:c r="G41" s="23" t="n">
        <x:v>194.9463844808674</x:v>
      </x:c>
      <x:c r="H41" s="23" t="n">
        <x:v>0.3590732470475632</x:v>
      </x:c>
      <x:c r="I41" s="23" t="n">
        <x:v>35.90732470475632</x:v>
      </x:c>
      <x:c r="J41" s="23" t="n">
        <x:v>35.90732470475632</x:v>
      </x:c>
      <x:c r="K41" s="23" t="n">
        <x:f>IF(E41&gt;0,J41/E41*100,"")</x:f>
        <x:v>71.81464940951264</x:v>
      </x:c>
      <x:c r="L41" s="23" t="n">
        <x:f>IF(E41&gt;0,ABS(J41-E41),"")</x:f>
        <x:v>14.09267529524368</x:v>
      </x:c>
      <x:c r="M41" s="23" t="n">
        <x:v>2.2983052730560303</x:v>
      </x:c>
      <x:c r="N41" s="20" t="n">
        <x:v>147</x:v>
      </x:c>
      <x:c r="O41" s="20" t="str">
        <x:v>no</x:v>
      </x:c>
    </x:row>
    <x:row r="42">
      <x:c r="A42" s="20" t="str">
        <x:v>DQ50-TB0-TH250.csv</x:v>
      </x:c>
      <x:c r="B42" s="20" t="n">
        <x:v>1</x:v>
      </x:c>
      <x:c r="C42" s="20" t="str">
        <x:v>binary</x:v>
      </x:c>
      <x:c r="D42" s="20" t="str">
        <x:v>TBZ</x:v>
      </x:c>
      <x:c r="E42" s="23" t="n">
        <x:v>0</x:v>
      </x:c>
      <x:c r="F42" s="23" t="n">
        <x:v>4.9556876340651606</x:v>
      </x:c>
      <x:c r="G42" s="23" t="n">
        <x:v>385.8003080232556</x:v>
      </x:c>
      <x:c r="H42" s="23" t="n">
        <x:v>0.9701125834394353</x:v>
      </x:c>
      <x:c r="I42" s="23" t="n">
        <x:v>80.36243218404988</x:v>
      </x:c>
      <x:c r="J42" s="23" t="n">
        <x:v>84.14636439294708</x:v>
      </x:c>
      <x:c r="K42" s="23" t="str">
        <x:f>IF(E42&gt;0,J42/E42*100,"")</x:f>
      </x:c>
      <x:c r="L42" s="23" t="str">
        <x:f>IF(E42&gt;0,ABS(J42-E42),"")</x:f>
      </x:c>
      <x:c r="M42" s="23" t="n">
        <x:v>1.9382132291793823</x:v>
      </x:c>
      <x:c r="N42" s="20" t="n">
        <x:v>147</x:v>
      </x:c>
      <x:c r="O42" s="20" t="str">
        <x:v>no</x:v>
      </x:c>
    </x:row>
    <x:row r="43">
      <x:c r="A43" s="20" t="str">
        <x:v>DQ50-TB0-TH250.csv</x:v>
      </x:c>
      <x:c r="B43" s="20" t="n">
        <x:v>1</x:v>
      </x:c>
      <x:c r="C43" s="20" t="str">
        <x:v>binary</x:v>
      </x:c>
      <x:c r="D43" s="20" t="str">
        <x:v>THI</x:v>
      </x:c>
      <x:c r="E43" s="23" t="n">
        <x:v>250</x:v>
      </x:c>
      <x:c r="F43" s="23" t="n">
        <x:v>93.09102747196197</x:v>
      </x:c>
      <x:c r="G43" s="23" t="n">
        <x:v>12992.363486050657</x:v>
      </x:c>
      <x:c r="H43" s="23" t="n">
        <x:v>100</x:v>
      </x:c>
      <x:c r="I43" s="23" t="n">
        <x:v>596.9120687753789</x:v>
      </x:c>
      <x:c r="J43" s="23" t="n">
        <x:v>674.5620727539062</x:v>
      </x:c>
      <x:c r="K43" s="23" t="n">
        <x:f>IF(E43&gt;0,J43/E43*100,"")</x:f>
        <x:v>269.8248291015625</x:v>
      </x:c>
      <x:c r="L43" s="23" t="n">
        <x:f>IF(E43&gt;0,ABS(J43-E43),"")</x:f>
        <x:v>424.56207275390625</x:v>
      </x:c>
      <x:c r="M43" s="23" t="n">
        <x:v>0.8290219306945801</x:v>
      </x:c>
      <x:c r="N43" s="20" t="n">
        <x:v>147</x:v>
      </x:c>
      <x:c r="O43" s="20" t="str">
        <x:v>no</x:v>
      </x:c>
    </x:row>
    <x:row r="44">
      <x:c r="A44" s="20" t="str">
        <x:v>DQ500-TB500-TH0.csv</x:v>
      </x:c>
      <x:c r="B44" s="20" t="n">
        <x:v>1</x:v>
      </x:c>
      <x:c r="C44" s="20" t="str">
        <x:v>binary</x:v>
      </x:c>
      <x:c r="D44" s="20" t="str">
        <x:v>DQ</x:v>
      </x:c>
      <x:c r="E44" s="23" t="n">
        <x:v>500</x:v>
      </x:c>
      <x:c r="F44" s="23" t="n">
        <x:v>68.49055103212412</x:v>
      </x:c>
      <x:c r="G44" s="23" t="n">
        <x:v>3340.2755658187134</x:v>
      </x:c>
      <x:c r="H44" s="23" t="n">
        <x:v>1.718533116038978</x:v>
      </x:c>
      <x:c r="I44" s="23" t="n">
        <x:v>34.72261484491707</x:v>
      </x:c>
      <x:c r="J44" s="23" t="n">
        <x:v>21.528527254549132</x:v>
      </x:c>
      <x:c r="K44" s="23" t="n">
        <x:f>IF(E44&gt;0,J44/E44*100,"")</x:f>
        <x:v>4.3057054509098265</x:v>
      </x:c>
      <x:c r="L44" s="23" t="n">
        <x:f>IF(E44&gt;0,ABS(J44-E44),"")</x:f>
        <x:v>478.47147274545085</x:v>
      </x:c>
      <x:c r="M44" s="23" t="n">
        <x:v>1.0978564023971558</x:v>
      </x:c>
      <x:c r="N44" s="20" t="n">
        <x:v>147</x:v>
      </x:c>
      <x:c r="O44" s="20" t="str">
        <x:v>no</x:v>
      </x:c>
    </x:row>
    <x:row r="45">
      <x:c r="A45" s="20" t="str">
        <x:v>DQ500-TB500-TH0.csv</x:v>
      </x:c>
      <x:c r="B45" s="20" t="n">
        <x:v>1</x:v>
      </x:c>
      <x:c r="C45" s="20" t="str">
        <x:v>binary</x:v>
      </x:c>
      <x:c r="D45" s="20" t="str">
        <x:v>TBZ</x:v>
      </x:c>
      <x:c r="E45" s="23" t="n">
        <x:v>500</x:v>
      </x:c>
      <x:c r="F45" s="23" t="n">
        <x:v>28.724141487906635</x:v>
      </x:c>
      <x:c r="G45" s="23" t="n">
        <x:v>706.0412427416715</x:v>
      </x:c>
      <x:c r="H45" s="23" t="n">
        <x:v>1.1770109119951877</x:v>
      </x:c>
      <x:c r="I45" s="23" t="n">
        <x:v>8.720680742496063</x:v>
      </x:c>
      <x:c r="J45" s="23" t="n">
        <x:v>6.463651840199739</x:v>
      </x:c>
      <x:c r="K45" s="23" t="n">
        <x:f>IF(E45&gt;0,J45/E45*100,"")</x:f>
        <x:v>1.2927303680399478</x:v>
      </x:c>
      <x:c r="L45" s="23" t="n">
        <x:f>IF(E45&gt;0,ABS(J45-E45),"")</x:f>
        <x:v>493.53634815980024</x:v>
      </x:c>
      <x:c r="M45" s="23" t="n">
        <x:v>0.7396974563598633</x:v>
      </x:c>
      <x:c r="N45" s="20" t="n">
        <x:v>147</x:v>
      </x:c>
      <x:c r="O45" s="20" t="str">
        <x:v>no</x:v>
      </x:c>
    </x:row>
    <x:row r="46">
      <x:c r="A46" s="20" t="str">
        <x:v>DQ500-TB500-TH0.csv</x:v>
      </x:c>
      <x:c r="B46" s="20" t="n">
        <x:v>1</x:v>
      </x:c>
      <x:c r="C46" s="20" t="str">
        <x:v>binary</x:v>
      </x:c>
      <x:c r="D46" s="20" t="str">
        <x:v>THI</x:v>
      </x:c>
      <x:c r="E46" s="23" t="n">
        <x:v>0</x:v>
      </x:c>
      <x:c r="F46" s="23" t="n">
        <x:v>2.785307479869244</x:v>
      </x:c>
      <x:c r="G46" s="23" t="n">
        <x:v>822.5178790397895</x:v>
      </x:c>
      <x:c r="H46" s="23" t="n">
        <x:v>0.9523636982110879</x:v>
      </x:c>
      <x:c r="I46" s="23" t="n">
        <x:v>2.681140352046519</x:v>
      </x:c>
      <x:c r="J46" s="23" t="n">
        <x:v>2.6211633821301805</x:v>
      </x:c>
      <x:c r="K46" s="23" t="str">
        <x:f>IF(E46&gt;0,J46/E46*100,"")</x:f>
      </x:c>
      <x:c r="L46" s="23" t="str">
        <x:f>IF(E46&gt;0,ABS(J46-E46),"")</x:f>
      </x:c>
      <x:c r="M46" s="23" t="n">
        <x:v>0.4396912753582001</x:v>
      </x:c>
      <x:c r="N46" s="20" t="n">
        <x:v>147</x:v>
      </x:c>
      <x:c r="O46" s="20" t="str">
        <x:v>no</x:v>
      </x:c>
    </x:row>
    <x:row r="47">
      <x:c r="A47" s="20" t="str">
        <x:v>DQ6-TB24-TH12.csv</x:v>
      </x:c>
      <x:c r="B47" s="20" t="n">
        <x:v>1</x:v>
      </x:c>
      <x:c r="C47" s="20" t="str">
        <x:v>ternary</x:v>
      </x:c>
      <x:c r="D47" s="20" t="str">
        <x:v>DQ</x:v>
      </x:c>
      <x:c r="E47" s="23" t="n">
        <x:v>6</x:v>
      </x:c>
      <x:c r="F47" s="23" t="n">
        <x:v>23.750769351965467</x:v>
      </x:c>
      <x:c r="G47" s="23" t="n">
        <x:v>7497.535362759089</x:v>
      </x:c>
      <x:c r="H47" s="23" t="n">
        <x:v>13.611236582233357</x:v>
      </x:c>
      <x:c r="I47" s="23" t="n">
        <x:v>16.69930879200019</x:v>
      </x:c>
      <x:c r="J47" s="23" t="n">
        <x:v>11.544776156180653</x:v>
      </x:c>
      <x:c r="K47" s="23" t="n">
        <x:f>IF(E47&gt;0,J47/E47*100,"")</x:f>
        <x:v>192.4129359363442</x:v>
      </x:c>
      <x:c r="L47" s="23" t="n">
        <x:f>IF(E47&gt;0,ABS(J47-E47),"")</x:f>
        <x:v>5.544776156180653</x:v>
      </x:c>
      <x:c r="M47" s="23" t="n">
        <x:v>-0.07151205837726593</x:v>
      </x:c>
      <x:c r="N47" s="20" t="n">
        <x:v>147</x:v>
      </x:c>
      <x:c r="O47" s="20" t="str">
        <x:v>yes</x:v>
      </x:c>
    </x:row>
    <x:row r="48">
      <x:c r="A48" s="20" t="str">
        <x:v>DQ6-TB24-TH12.csv</x:v>
      </x:c>
      <x:c r="B48" s="20" t="n">
        <x:v>1</x:v>
      </x:c>
      <x:c r="C48" s="20" t="str">
        <x:v>ternary</x:v>
      </x:c>
      <x:c r="D48" s="20" t="str">
        <x:v>TBZ</x:v>
      </x:c>
      <x:c r="E48" s="23" t="n">
        <x:v>24</x:v>
      </x:c>
      <x:c r="F48" s="23" t="n">
        <x:v>55.85349368448518</x:v>
      </x:c>
      <x:c r="G48" s="23" t="n">
        <x:v>4739.398507087341</x:v>
      </x:c>
      <x:c r="H48" s="23" t="n">
        <x:v>13.434318964952618</x:v>
      </x:c>
      <x:c r="I48" s="23" t="n">
        <x:v>65.76927647716629</x:v>
      </x:c>
      <x:c r="J48" s="23" t="n">
        <x:v>34.135046350014605</x:v>
      </x:c>
      <x:c r="K48" s="23" t="n">
        <x:f>IF(E48&gt;0,J48/E48*100,"")</x:f>
        <x:v>142.22935979172752</x:v>
      </x:c>
      <x:c r="L48" s="23" t="n">
        <x:f>IF(E48&gt;0,ABS(J48-E48),"")</x:f>
        <x:v>10.135046350014605</x:v>
      </x:c>
      <x:c r="M48" s="23" t="n">
        <x:v>0.40498486161231995</x:v>
      </x:c>
      <x:c r="N48" s="20" t="n">
        <x:v>147</x:v>
      </x:c>
      <x:c r="O48" s="20" t="str">
        <x:v>yes</x:v>
      </x:c>
    </x:row>
    <x:row r="49">
      <x:c r="A49" s="20" t="str">
        <x:v>DQ6-TB24-TH12.csv</x:v>
      </x:c>
      <x:c r="B49" s="20" t="n">
        <x:v>1</x:v>
      </x:c>
      <x:c r="C49" s="20" t="str">
        <x:v>ternary</x:v>
      </x:c>
      <x:c r="D49" s="20" t="str">
        <x:v>THI</x:v>
      </x:c>
      <x:c r="E49" s="23" t="n">
        <x:v>12</x:v>
      </x:c>
      <x:c r="F49" s="23" t="n">
        <x:v>20.395736963449348</x:v>
      </x:c>
      <x:c r="G49" s="23" t="n">
        <x:v>6134.965508876375</x:v>
      </x:c>
      <x:c r="H49" s="23" t="n">
        <x:v>13.835412897506673</x:v>
      </x:c>
      <x:c r="I49" s="23" t="n">
        <x:v>12.004918596403588</x:v>
      </x:c>
      <x:c r="J49" s="23" t="n">
        <x:v>12.042572799697151</x:v>
      </x:c>
      <x:c r="K49" s="23" t="n">
        <x:f>IF(E49&gt;0,J49/E49*100,"")</x:f>
        <x:v>100.35477333080959</x:v>
      </x:c>
      <x:c r="L49" s="23" t="n">
        <x:f>IF(E49&gt;0,ABS(J49-E49),"")</x:f>
        <x:v>0.042572799697151</x:v>
      </x:c>
      <x:c r="M49" s="23" t="n">
        <x:v>-0.06027283892035484</x:v>
      </x:c>
      <x:c r="N49" s="20" t="n">
        <x:v>147</x:v>
      </x:c>
      <x:c r="O49" s="20" t="str">
        <x:v>yes</x:v>
      </x:c>
    </x:row>
    <x:row r="50">
      <x:c r="A50" s="20" t="str">
        <x:v>DQ6-TB24-TH6.csv</x:v>
      </x:c>
      <x:c r="B50" s="20" t="n">
        <x:v>1</x:v>
      </x:c>
      <x:c r="C50" s="20" t="str">
        <x:v>ternary</x:v>
      </x:c>
      <x:c r="D50" s="20" t="str">
        <x:v>DQ</x:v>
      </x:c>
      <x:c r="E50" s="23" t="n">
        <x:v>6</x:v>
      </x:c>
      <x:c r="F50" s="23" t="n">
        <x:v>13.783367090956444</x:v>
      </x:c>
      <x:c r="G50" s="23" t="n">
        <x:v>5756.657846446213</x:v>
      </x:c>
      <x:c r="H50" s="23" t="n">
        <x:v>5.721961657440029</x:v>
      </x:c>
      <x:c r="I50" s="23" t="n">
        <x:v>7.2089934001523375</x:v>
      </x:c>
      <x:c r="J50" s="23" t="n">
        <x:v>6.371565278294813</x:v>
      </x:c>
      <x:c r="K50" s="23" t="n">
        <x:f>IF(E50&gt;0,J50/E50*100,"")</x:f>
        <x:v>106.1927546382469</x:v>
      </x:c>
      <x:c r="L50" s="23" t="n">
        <x:f>IF(E50&gt;0,ABS(J50-E50),"")</x:f>
        <x:v>0.37156527829481334</x:v>
      </x:c>
      <x:c r="M50" s="23" t="n">
        <x:v>0.046701207756996155</x:v>
      </x:c>
      <x:c r="N50" s="20" t="n">
        <x:v>147</x:v>
      </x:c>
      <x:c r="O50" s="20" t="str">
        <x:v>yes</x:v>
      </x:c>
    </x:row>
    <x:row r="51">
      <x:c r="A51" s="20" t="str">
        <x:v>DQ6-TB24-TH6.csv</x:v>
      </x:c>
      <x:c r="B51" s="20" t="n">
        <x:v>1</x:v>
      </x:c>
      <x:c r="C51" s="20" t="str">
        <x:v>ternary</x:v>
      </x:c>
      <x:c r="D51" s="20" t="str">
        <x:v>TBZ</x:v>
      </x:c>
      <x:c r="E51" s="23" t="n">
        <x:v>24</x:v>
      </x:c>
      <x:c r="F51" s="23" t="n">
        <x:v>70.5426821916433</x:v>
      </x:c>
      <x:c r="G51" s="23" t="n">
        <x:v>2625.6999288792786</x:v>
      </x:c>
      <x:c r="H51" s="23" t="n">
        <x:v>3.7502663667262524</x:v>
      </x:c>
      <x:c r="I51" s="23" t="n">
        <x:v>28.265466601765137</x:v>
      </x:c>
      <x:c r="J51" s="23" t="n">
        <x:v>26.472382844607992</x:v>
      </x:c>
      <x:c r="K51" s="23" t="n">
        <x:f>IF(E51&gt;0,J51/E51*100,"")</x:f>
        <x:v>110.30159518586665</x:v>
      </x:c>
      <x:c r="L51" s="23" t="n">
        <x:f>IF(E51&gt;0,ABS(J51-E51),"")</x:f>
        <x:v>2.472382844607992</x:v>
      </x:c>
      <x:c r="M51" s="23" t="n">
        <x:v>0.8487309217453003</x:v>
      </x:c>
      <x:c r="N51" s="20" t="n">
        <x:v>147</x:v>
      </x:c>
      <x:c r="O51" s="20" t="str">
        <x:v>yes</x:v>
      </x:c>
    </x:row>
    <x:row r="52">
      <x:c r="A52" s="20" t="str">
        <x:v>DQ6-TB24-TH6.csv</x:v>
      </x:c>
      <x:c r="B52" s="20" t="n">
        <x:v>1</x:v>
      </x:c>
      <x:c r="C52" s="20" t="str">
        <x:v>ternary</x:v>
      </x:c>
      <x:c r="D52" s="20" t="str">
        <x:v>THI</x:v>
      </x:c>
      <x:c r="E52" s="23" t="n">
        <x:v>6</x:v>
      </x:c>
      <x:c r="F52" s="23" t="n">
        <x:v>15.673950717300276</x:v>
      </x:c>
      <x:c r="G52" s="23" t="n">
        <x:v>3993.1601548410035</x:v>
      </x:c>
      <x:c r="H52" s="23" t="n">
        <x:v>4.703653970135503</x:v>
      </x:c>
      <x:c r="I52" s="23" t="n">
        <x:v>7.693267867711928</x:v>
      </x:c>
      <x:c r="J52" s="23" t="n">
        <x:v>8.815677361490696</x:v>
      </x:c>
      <x:c r="K52" s="23" t="n">
        <x:f>IF(E52&gt;0,J52/E52*100,"")</x:f>
        <x:v>146.92795602484495</x:v>
      </x:c>
      <x:c r="L52" s="23" t="n">
        <x:f>IF(E52&gt;0,ABS(J52-E52),"")</x:f>
        <x:v>2.815677361490696</x:v>
      </x:c>
      <x:c r="M52" s="23" t="n">
        <x:v>0.2728203237056732</x:v>
      </x:c>
      <x:c r="N52" s="20" t="n">
        <x:v>147</x:v>
      </x:c>
      <x:c r="O52" s="20" t="str">
        <x:v>yes</x:v>
      </x:c>
    </x:row>
    <x:row r="53">
      <x:c r="A53" s="20" t="str">
        <x:v>DQ6-TB3-TH24.csv</x:v>
      </x:c>
      <x:c r="B53" s="20" t="n">
        <x:v>1</x:v>
      </x:c>
      <x:c r="C53" s="20" t="str">
        <x:v>ternary</x:v>
      </x:c>
      <x:c r="D53" s="20" t="str">
        <x:v>DQ</x:v>
      </x:c>
      <x:c r="E53" s="23" t="n">
        <x:v>6</x:v>
      </x:c>
      <x:c r="F53" s="23" t="n">
        <x:v>18.887999663798496</x:v>
      </x:c>
      <x:c r="G53" s="23" t="n">
        <x:v>4174.068335136047</x:v>
      </x:c>
      <x:c r="H53" s="23" t="n">
        <x:v>2.6026267562642316</x:v>
      </x:c>
      <x:c r="I53" s="23" t="n">
        <x:v>7.692621791094054</x:v>
      </x:c>
      <x:c r="J53" s="23" t="n">
        <x:v>3.9813546017719577</x:v>
      </x:c>
      <x:c r="K53" s="23" t="n">
        <x:f>IF(E53&gt;0,J53/E53*100,"")</x:f>
        <x:v>66.35591002953262</x:v>
      </x:c>
      <x:c r="L53" s="23" t="n">
        <x:f>IF(E53&gt;0,ABS(J53-E53),"")</x:f>
        <x:v>2.0186453982280423</x:v>
      </x:c>
      <x:c r="M53" s="23" t="n">
        <x:v>0.1846189796924591</x:v>
      </x:c>
      <x:c r="N53" s="20" t="n">
        <x:v>147</x:v>
      </x:c>
      <x:c r="O53" s="20" t="str">
        <x:v>yes</x:v>
      </x:c>
    </x:row>
    <x:row r="54">
      <x:c r="A54" s="20" t="str">
        <x:v>DQ6-TB3-TH24.csv</x:v>
      </x:c>
      <x:c r="B54" s="20" t="n">
        <x:v>1</x:v>
      </x:c>
      <x:c r="C54" s="20" t="str">
        <x:v>ternary</x:v>
      </x:c>
      <x:c r="D54" s="20" t="str">
        <x:v>TBZ</x:v>
      </x:c>
      <x:c r="E54" s="23" t="n">
        <x:v>3</x:v>
      </x:c>
      <x:c r="F54" s="23" t="n">
        <x:v>12.809001992649636</x:v>
      </x:c>
      <x:c r="G54" s="23" t="n">
        <x:v>520.5965898585835</x:v>
      </x:c>
      <x:c r="H54" s="23" t="n">
        <x:v>1.0523543720957744</x:v>
      </x:c>
      <x:c r="I54" s="23" t="n">
        <x:v>5.211201464081052</x:v>
      </x:c>
      <x:c r="J54" s="23" t="n">
        <x:v>3.3117103616038115</x:v>
      </x:c>
      <x:c r="K54" s="23" t="n">
        <x:f>IF(E54&gt;0,J54/E54*100,"")</x:f>
        <x:v>110.39034538679371</x:v>
      </x:c>
      <x:c r="L54" s="23" t="n">
        <x:f>IF(E54&gt;0,ABS(J54-E54),"")</x:f>
        <x:v>0.3117103616038115</x:v>
      </x:c>
      <x:c r="M54" s="23" t="n">
        <x:v>0.4978903532028198</x:v>
      </x:c>
      <x:c r="N54" s="20" t="n">
        <x:v>147</x:v>
      </x:c>
      <x:c r="O54" s="20" t="str">
        <x:v>yes</x:v>
      </x:c>
    </x:row>
    <x:row r="55">
      <x:c r="A55" s="20" t="str">
        <x:v>DQ6-TB3-TH24.csv</x:v>
      </x:c>
      <x:c r="B55" s="20" t="n">
        <x:v>1</x:v>
      </x:c>
      <x:c r="C55" s="20" t="str">
        <x:v>ternary</x:v>
      </x:c>
      <x:c r="D55" s="20" t="str">
        <x:v>THI</x:v>
      </x:c>
      <x:c r="E55" s="23" t="n">
        <x:v>24</x:v>
      </x:c>
      <x:c r="F55" s="23" t="n">
        <x:v>68.30299834345188</x:v>
      </x:c>
      <x:c r="G55" s="23" t="n">
        <x:v>7189.714225588529</x:v>
      </x:c>
      <x:c r="H55" s="23" t="n">
        <x:v>23.53621094164052</x:v>
      </x:c>
      <x:c r="I55" s="23" t="n">
        <x:v>19.31954344230321</x:v>
      </x:c>
      <x:c r="J55" s="23" t="n">
        <x:v>12.735828718785868</x:v>
      </x:c>
      <x:c r="K55" s="23" t="n">
        <x:f>IF(E55&gt;0,J55/E55*100,"")</x:f>
        <x:v>53.065952994941114</x:v>
      </x:c>
      <x:c r="L55" s="23" t="n">
        <x:f>IF(E55&gt;0,ABS(J55-E55),"")</x:f>
        <x:v>11.264171281214132</x:v>
      </x:c>
      <x:c r="M55" s="23" t="n">
        <x:v>-0.2667093276977539</x:v>
      </x:c>
      <x:c r="N55" s="20" t="n">
        <x:v>147</x:v>
      </x:c>
      <x:c r="O55" s="20" t="str">
        <x:v>yes</x:v>
      </x:c>
    </x:row>
    <x:row r="56">
      <x:c r="A56" s="20" t="str">
        <x:v>DQ6-TB6-TH12.csv</x:v>
      </x:c>
      <x:c r="B56" s="20" t="n">
        <x:v>1</x:v>
      </x:c>
      <x:c r="C56" s="20" t="str">
        <x:v>ternary</x:v>
      </x:c>
      <x:c r="D56" s="20" t="str">
        <x:v>DQ</x:v>
      </x:c>
      <x:c r="E56" s="23" t="n">
        <x:v>6</x:v>
      </x:c>
      <x:c r="F56" s="23" t="n">
        <x:v>22.48210121346974</x:v>
      </x:c>
      <x:c r="G56" s="23" t="n">
        <x:v>3218.8073791687953</x:v>
      </x:c>
      <x:c r="H56" s="23" t="n">
        <x:v>1.6177009232016557</x:v>
      </x:c>
      <x:c r="I56" s="23" t="n">
        <x:v>7.212397618528179</x:v>
      </x:c>
      <x:c r="J56" s="23" t="n">
        <x:v>4.9345280902547435</x:v>
      </x:c>
      <x:c r="K56" s="23" t="n">
        <x:f>IF(E56&gt;0,J56/E56*100,"")</x:f>
        <x:v>82.24213483757906</x:v>
      </x:c>
      <x:c r="L56" s="23" t="n">
        <x:f>IF(E56&gt;0,ABS(J56-E56),"")</x:f>
        <x:v>1.0654719097452565</x:v>
      </x:c>
      <x:c r="M56" s="23" t="n">
        <x:v>0.484347403049469</x:v>
      </x:c>
      <x:c r="N56" s="20" t="n">
        <x:v>147</x:v>
      </x:c>
      <x:c r="O56" s="20" t="str">
        <x:v>yes</x:v>
      </x:c>
    </x:row>
    <x:row r="57">
      <x:c r="A57" s="20" t="str">
        <x:v>DQ6-TB6-TH12.csv</x:v>
      </x:c>
      <x:c r="B57" s="20" t="n">
        <x:v>1</x:v>
      </x:c>
      <x:c r="C57" s="20" t="str">
        <x:v>ternary</x:v>
      </x:c>
      <x:c r="D57" s="20" t="str">
        <x:v>TBZ</x:v>
      </x:c>
      <x:c r="E57" s="23" t="n">
        <x:v>6</x:v>
      </x:c>
      <x:c r="F57" s="23" t="n">
        <x:v>32.659174041852694</x:v>
      </x:c>
      <x:c r="G57" s="23" t="n">
        <x:v>826.7091702821676</x:v>
      </x:c>
      <x:c r="H57" s="23" t="n">
        <x:v>1.2659492496306626</x:v>
      </x:c>
      <x:c r="I57" s="23" t="n">
        <x:v>9.96037639072084</x:v>
      </x:c>
      <x:c r="J57" s="23" t="n">
        <x:v>8.402024990372928</x:v>
      </x:c>
      <x:c r="K57" s="23" t="n">
        <x:f>IF(E57&gt;0,J57/E57*100,"")</x:f>
        <x:v>140.0337498395488</x:v>
      </x:c>
      <x:c r="L57" s="23" t="n">
        <x:f>IF(E57&gt;0,ABS(J57-E57),"")</x:f>
        <x:v>2.4020249903729276</x:v>
      </x:c>
      <x:c r="M57" s="23" t="n">
        <x:v>0.8219676613807678</x:v>
      </x:c>
      <x:c r="N57" s="20" t="n">
        <x:v>147</x:v>
      </x:c>
      <x:c r="O57" s="20" t="str">
        <x:v>yes</x:v>
      </x:c>
    </x:row>
    <x:row r="58">
      <x:c r="A58" s="20" t="str">
        <x:v>DQ6-TB6-TH12.csv</x:v>
      </x:c>
      <x:c r="B58" s="20" t="n">
        <x:v>1</x:v>
      </x:c>
      <x:c r="C58" s="20" t="str">
        <x:v>ternary</x:v>
      </x:c>
      <x:c r="D58" s="20" t="str">
        <x:v>THI</x:v>
      </x:c>
      <x:c r="E58" s="23" t="n">
        <x:v>12</x:v>
      </x:c>
      <x:c r="F58" s="23" t="n">
        <x:v>44.85872474457756</x:v>
      </x:c>
      <x:c r="G58" s="23" t="n">
        <x:v>5561.841327965452</x:v>
      </x:c>
      <x:c r="H58" s="23" t="n">
        <x:v>10.366003529779313</x:v>
      </x:c>
      <x:c r="I58" s="23" t="n">
        <x:v>16.199282880484585</x:v>
      </x:c>
      <x:c r="J58" s="23" t="n">
        <x:v>15.7628411397592</x:v>
      </x:c>
      <x:c r="K58" s="23" t="n">
        <x:f>IF(E58&gt;0,J58/E58*100,"")</x:f>
        <x:v>131.35700949799335</x:v>
      </x:c>
      <x:c r="L58" s="23" t="n">
        <x:f>IF(E58&gt;0,ABS(J58-E58),"")</x:f>
        <x:v>3.7628411397591996</x:v>
      </x:c>
      <x:c r="M58" s="23" t="n">
        <x:v>0.18202313780784607</x:v>
      </x:c>
      <x:c r="N58" s="20" t="n">
        <x:v>147</x:v>
      </x:c>
      <x:c r="O58" s="20" t="str">
        <x:v>yes</x:v>
      </x:c>
    </x:row>
    <x:row r="59">
      <x:c r="A59" s="20" t="str">
        <x:v>DQ0-TB50-TH250.csv</x:v>
      </x:c>
      <x:c r="B59" s="20" t="n">
        <x:v>2</x:v>
      </x:c>
      <x:c r="C59" s="20" t="str">
        <x:v>binary</x:v>
      </x:c>
      <x:c r="D59" s="20" t="str">
        <x:v>DQ</x:v>
      </x:c>
      <x:c r="E59" s="23" t="n">
        <x:v>0</x:v>
      </x:c>
      <x:c r="F59" s="23" t="n">
        <x:v>22.33770929427892</x:v>
      </x:c>
      <x:c r="G59" s="23" t="n">
        <x:v>268.9002127395885</x:v>
      </x:c>
      <x:c r="H59" s="23" t="n">
        <x:v>0.3725381909079426</x:v>
      </x:c>
      <x:c r="I59" s="23" t="n">
        <x:v>37.25381909079426</x:v>
      </x:c>
      <x:c r="J59" s="23" t="n">
        <x:v>37.25381909079426</x:v>
      </x:c>
      <x:c r="K59" s="23" t="str">
        <x:f>IF(E59&gt;0,J59/E59*100,"")</x:f>
      </x:c>
      <x:c r="L59" s="23" t="str">
        <x:f>IF(E59&gt;0,ABS(J59-E59),"")</x:f>
      </x:c>
      <x:c r="M59" s="23" t="n">
        <x:v>2.1657609939575195</x:v>
      </x:c>
      <x:c r="N59" s="20" t="n">
        <x:v>569</x:v>
      </x:c>
      <x:c r="O59" s="20" t="str">
        <x:v>no</x:v>
      </x:c>
    </x:row>
    <x:row r="60">
      <x:c r="A60" s="20" t="str">
        <x:v>DQ0-TB50-TH250.csv</x:v>
      </x:c>
      <x:c r="B60" s="20" t="n">
        <x:v>2</x:v>
      </x:c>
      <x:c r="C60" s="20" t="str">
        <x:v>binary</x:v>
      </x:c>
      <x:c r="D60" s="20" t="str">
        <x:v>TBZ</x:v>
      </x:c>
      <x:c r="E60" s="23" t="n">
        <x:v>50</x:v>
      </x:c>
      <x:c r="F60" s="23" t="n">
        <x:v>9.840215510491614</x:v>
      </x:c>
      <x:c r="G60" s="23" t="n">
        <x:v>392.18644062931384</x:v>
      </x:c>
      <x:c r="H60" s="23" t="n">
        <x:v>0.973859726021627</x:v>
      </x:c>
      <x:c r="I60" s="23" t="n">
        <x:v>62.10902248375992</x:v>
      </x:c>
      <x:c r="J60" s="23" t="n">
        <x:v>37.125979887592386</x:v>
      </x:c>
      <x:c r="K60" s="23" t="n">
        <x:f>IF(E60&gt;0,J60/E60*100,"")</x:f>
        <x:v>74.25195977518477</x:v>
      </x:c>
      <x:c r="L60" s="23" t="n">
        <x:f>IF(E60&gt;0,ABS(J60-E60),"")</x:f>
        <x:v>12.874020112407614</x:v>
      </x:c>
      <x:c r="M60" s="23" t="n">
        <x:v>1.581181526184082</x:v>
      </x:c>
      <x:c r="N60" s="20" t="n">
        <x:v>569</x:v>
      </x:c>
      <x:c r="O60" s="20" t="str">
        <x:v>no</x:v>
      </x:c>
    </x:row>
    <x:row r="61">
      <x:c r="A61" s="20" t="str">
        <x:v>DQ0-TB50-TH250.csv</x:v>
      </x:c>
      <x:c r="B61" s="20" t="n">
        <x:v>2</x:v>
      </x:c>
      <x:c r="C61" s="20" t="str">
        <x:v>binary</x:v>
      </x:c>
      <x:c r="D61" s="20" t="str">
        <x:v>THI</x:v>
      </x:c>
      <x:c r="E61" s="23" t="n">
        <x:v>250</x:v>
      </x:c>
      <x:c r="F61" s="23" t="n">
        <x:v>67.82207519512944</x:v>
      </x:c>
      <x:c r="G61" s="23" t="n">
        <x:v>14212.794289746758</x:v>
      </x:c>
      <x:c r="H61" s="23" t="n">
        <x:v>100</x:v>
      </x:c>
      <x:c r="I61" s="23" t="n">
        <x:v>290.85800181667287</x:v>
      </x:c>
      <x:c r="J61" s="23" t="n">
        <x:v>257.8472375869751</x:v>
      </x:c>
      <x:c r="K61" s="23" t="n">
        <x:f>IF(E61&gt;0,J61/E61*100,"")</x:f>
        <x:v>103.13889503479004</x:v>
      </x:c>
      <x:c r="L61" s="23" t="n">
        <x:f>IF(E61&gt;0,ABS(J61-E61),"")</x:f>
        <x:v>7.847237586975098</x:v>
      </x:c>
      <x:c r="M61" s="23" t="n">
        <x:v>0.41136249899864197</x:v>
      </x:c>
      <x:c r="N61" s="20" t="n">
        <x:v>569</x:v>
      </x:c>
      <x:c r="O61" s="20" t="str">
        <x:v>no</x:v>
      </x:c>
    </x:row>
    <x:row r="62">
      <x:c r="A62" s="20" t="str">
        <x:v>DQ12-TB6-TH12.csv</x:v>
      </x:c>
      <x:c r="B62" s="20" t="n">
        <x:v>2</x:v>
      </x:c>
      <x:c r="C62" s="20" t="str">
        <x:v>ternary</x:v>
      </x:c>
      <x:c r="D62" s="20" t="str">
        <x:v>DQ</x:v>
      </x:c>
      <x:c r="E62" s="23" t="n">
        <x:v>12</x:v>
      </x:c>
      <x:c r="F62" s="23" t="n">
        <x:v>44.57684680963025</x:v>
      </x:c>
      <x:c r="G62" s="23" t="n">
        <x:v>1982.5812090329507</x:v>
      </x:c>
      <x:c r="H62" s="23" t="n">
        <x:v>0.8742667160753506</x:v>
      </x:c>
      <x:c r="I62" s="23" t="n">
        <x:v>10.738152949722503</x:v>
      </x:c>
      <x:c r="J62" s="23" t="n">
        <x:v>7.800772040180719</x:v>
      </x:c>
      <x:c r="K62" s="23" t="n">
        <x:f>IF(E62&gt;0,J62/E62*100,"")</x:f>
        <x:v>65.00643366817266</x:v>
      </x:c>
      <x:c r="L62" s="23" t="n">
        <x:f>IF(E62&gt;0,ABS(J62-E62),"")</x:f>
        <x:v>4.199227959819281</x:v>
      </x:c>
      <x:c r="M62" s="23" t="n">
        <x:v>0.9504936337471008</x:v>
      </x:c>
      <x:c r="N62" s="20" t="n">
        <x:v>569</x:v>
      </x:c>
      <x:c r="O62" s="20" t="str">
        <x:v>yes</x:v>
      </x:c>
    </x:row>
    <x:row r="63">
      <x:c r="A63" s="20" t="str">
        <x:v>DQ12-TB6-TH12.csv</x:v>
      </x:c>
      <x:c r="B63" s="20" t="n">
        <x:v>2</x:v>
      </x:c>
      <x:c r="C63" s="20" t="str">
        <x:v>ternary</x:v>
      </x:c>
      <x:c r="D63" s="20" t="str">
        <x:v>TBZ</x:v>
      </x:c>
      <x:c r="E63" s="23" t="n">
        <x:v>6</x:v>
      </x:c>
      <x:c r="F63" s="23" t="n">
        <x:v>31.162424361254676</x:v>
      </x:c>
      <x:c r="G63" s="23" t="n">
        <x:v>755.7490734513767</x:v>
      </x:c>
      <x:c r="H63" s="23" t="n">
        <x:v>1.2128651379552773</x:v>
      </x:c>
      <x:c r="I63" s="23" t="n">
        <x:v>10.239427302384911</x:v>
      </x:c>
      <x:c r="J63" s="23" t="n">
        <x:v>5.211912171840088</x:v>
      </x:c>
      <x:c r="K63" s="23" t="n">
        <x:f>IF(E63&gt;0,J63/E63*100,"")</x:f>
        <x:v>86.86520286400146</x:v>
      </x:c>
      <x:c r="L63" s="23" t="n">
        <x:f>IF(E63&gt;0,ABS(J63-E63),"")</x:f>
        <x:v>0.7880878281599122</x:v>
      </x:c>
      <x:c r="M63" s="23" t="n">
        <x:v>0.633184552192688</x:v>
      </x:c>
      <x:c r="N63" s="20" t="n">
        <x:v>569</x:v>
      </x:c>
      <x:c r="O63" s="20" t="str">
        <x:v>yes</x:v>
      </x:c>
    </x:row>
    <x:row r="64">
      <x:c r="A64" s="20" t="str">
        <x:v>DQ12-TB6-TH12.csv</x:v>
      </x:c>
      <x:c r="B64" s="20" t="n">
        <x:v>2</x:v>
      </x:c>
      <x:c r="C64" s="20" t="str">
        <x:v>ternary</x:v>
      </x:c>
      <x:c r="D64" s="20" t="str">
        <x:v>THI</x:v>
      </x:c>
      <x:c r="E64" s="23" t="n">
        <x:v>12</x:v>
      </x:c>
      <x:c r="F64" s="23" t="n">
        <x:v>24.260728829015072</x:v>
      </x:c>
      <x:c r="G64" s="23" t="n">
        <x:v>2678.7553108365637</x:v>
      </x:c>
      <x:c r="H64" s="23" t="n">
        <x:v>2.4259771043470786</x:v>
      </x:c>
      <x:c r="I64" s="23" t="n">
        <x:v>7.508244540670589</x:v>
      </x:c>
      <x:c r="J64" s="23" t="n">
        <x:v>6.607837548114412</x:v>
      </x:c>
      <x:c r="K64" s="23" t="n">
        <x:f>IF(E64&gt;0,J64/E64*100,"")</x:f>
        <x:v>55.06531290095344</x:v>
      </x:c>
      <x:c r="L64" s="23" t="n">
        <x:f>IF(E64&gt;0,ABS(J64-E64),"")</x:f>
        <x:v>5.392162451885588</x:v>
      </x:c>
      <x:c r="M64" s="23" t="n">
        <x:v>0.4351726472377777</x:v>
      </x:c>
      <x:c r="N64" s="20" t="n">
        <x:v>569</x:v>
      </x:c>
      <x:c r="O64" s="20" t="str">
        <x:v>yes</x:v>
      </x:c>
    </x:row>
    <x:row r="65">
      <x:c r="A65" s="20" t="str">
        <x:v>DQ12-TB6-TH6.csv</x:v>
      </x:c>
      <x:c r="B65" s="20" t="n">
        <x:v>2</x:v>
      </x:c>
      <x:c r="C65" s="20" t="str">
        <x:v>ternary</x:v>
      </x:c>
      <x:c r="D65" s="20" t="str">
        <x:v>DQ</x:v>
      </x:c>
      <x:c r="E65" s="23" t="n">
        <x:v>12</x:v>
      </x:c>
      <x:c r="F65" s="23" t="n">
        <x:v>44.91847707370894</x:v>
      </x:c>
      <x:c r="G65" s="23" t="n">
        <x:v>2322.8605661250585</x:v>
      </x:c>
      <x:c r="H65" s="23" t="n">
        <x:v>1.0356367177943495</x:v>
      </x:c>
      <x:c r="I65" s="23" t="n">
        <x:v>10.874893646600562</x:v>
      </x:c>
      <x:c r="J65" s="23" t="n">
        <x:v>5.917254115372067</x:v>
      </x:c>
      <x:c r="K65" s="23" t="n">
        <x:f>IF(E65&gt;0,J65/E65*100,"")</x:f>
        <x:v>49.310450961433894</x:v>
      </x:c>
      <x:c r="L65" s="23" t="n">
        <x:f>IF(E65&gt;0,ABS(J65-E65),"")</x:f>
        <x:v>6.082745884627933</x:v>
      </x:c>
      <x:c r="M65" s="23" t="n">
        <x:v>0.7569127678871155</x:v>
      </x:c>
      <x:c r="N65" s="20" t="n">
        <x:v>569</x:v>
      </x:c>
      <x:c r="O65" s="20" t="str">
        <x:v>yes</x:v>
      </x:c>
    </x:row>
    <x:row r="66">
      <x:c r="A66" s="20" t="str">
        <x:v>DQ12-TB6-TH6.csv</x:v>
      </x:c>
      <x:c r="B66" s="20" t="n">
        <x:v>2</x:v>
      </x:c>
      <x:c r="C66" s="20" t="str">
        <x:v>ternary</x:v>
      </x:c>
      <x:c r="D66" s="20" t="str">
        <x:v>TBZ</x:v>
      </x:c>
      <x:c r="E66" s="23" t="n">
        <x:v>6</x:v>
      </x:c>
      <x:c r="F66" s="23" t="n">
        <x:v>32.00274217121978</x:v>
      </x:c>
      <x:c r="G66" s="23" t="n">
        <x:v>821.0592820452088</x:v>
      </x:c>
      <x:c r="H66" s="23" t="n">
        <x:v>1.2616388405779722</x:v>
      </x:c>
      <x:c r="I66" s="23" t="n">
        <x:v>9.06410332463826</x:v>
      </x:c>
      <x:c r="J66" s="23" t="n">
        <x:v>3.8893151336793257</x:v>
      </x:c>
      <x:c r="K66" s="23" t="n">
        <x:f>IF(E66&gt;0,J66/E66*100,"")</x:f>
        <x:v>64.82191889465543</x:v>
      </x:c>
      <x:c r="L66" s="23" t="n">
        <x:f>IF(E66&gt;0,ABS(J66-E66),"")</x:f>
        <x:v>2.1106848663206743</x:v>
      </x:c>
      <x:c r="M66" s="23" t="n">
        <x:v>0.4889380931854248</x:v>
      </x:c>
      <x:c r="N66" s="20" t="n">
        <x:v>569</x:v>
      </x:c>
      <x:c r="O66" s="20" t="str">
        <x:v>yes</x:v>
      </x:c>
    </x:row>
    <x:row r="67">
      <x:c r="A67" s="20" t="str">
        <x:v>DQ12-TB6-TH6.csv</x:v>
      </x:c>
      <x:c r="B67" s="20" t="n">
        <x:v>2</x:v>
      </x:c>
      <x:c r="C67" s="20" t="str">
        <x:v>ternary</x:v>
      </x:c>
      <x:c r="D67" s="20" t="str">
        <x:v>THI</x:v>
      </x:c>
      <x:c r="E67" s="23" t="n">
        <x:v>6</x:v>
      </x:c>
      <x:c r="F67" s="23" t="n">
        <x:v>23.078780754971273</x:v>
      </x:c>
      <x:c r="G67" s="23" t="n">
        <x:v>1775.9889543860372</x:v>
      </x:c>
      <x:c r="H67" s="23" t="n">
        <x:v>1.5395401873622405</x:v>
      </x:c>
      <x:c r="I67" s="23" t="n">
        <x:v>4.7578689831757615</x:v>
      </x:c>
      <x:c r="J67" s="23" t="n">
        <x:v>4.622050323856663</x:v>
      </x:c>
      <x:c r="K67" s="23" t="n">
        <x:f>IF(E67&gt;0,J67/E67*100,"")</x:f>
        <x:v>77.03417206427771</x:v>
      </x:c>
      <x:c r="L67" s="23" t="n">
        <x:f>IF(E67&gt;0,ABS(J67-E67),"")</x:f>
        <x:v>1.377949676143337</x:v>
      </x:c>
      <x:c r="M67" s="23" t="n">
        <x:v>0.4774436354637146</x:v>
      </x:c>
      <x:c r="N67" s="20" t="n">
        <x:v>569</x:v>
      </x:c>
      <x:c r="O67" s="20" t="str">
        <x:v>yes</x:v>
      </x:c>
    </x:row>
    <x:row r="68">
      <x:c r="A68" s="20" t="str">
        <x:v>DQ24-TB12-TH24.csv</x:v>
      </x:c>
      <x:c r="B68" s="20" t="n">
        <x:v>2</x:v>
      </x:c>
      <x:c r="C68" s="20" t="str">
        <x:v>ternary</x:v>
      </x:c>
      <x:c r="D68" s="20" t="str">
        <x:v>DQ</x:v>
      </x:c>
      <x:c r="E68" s="23" t="n">
        <x:v>24</x:v>
      </x:c>
      <x:c r="F68" s="23" t="n">
        <x:v>33.624641635735564</x:v>
      </x:c>
      <x:c r="G68" s="23" t="n">
        <x:v>5746.939279366209</x:v>
      </x:c>
      <x:c r="H68" s="23" t="n">
        <x:v>5.694347007970531</x:v>
      </x:c>
      <x:c r="I68" s="23" t="n">
        <x:v>21.085976316614975</x:v>
      </x:c>
      <x:c r="J68" s="23" t="n">
        <x:v>12.037902989763998</x:v>
      </x:c>
      <x:c r="K68" s="23" t="n">
        <x:f>IF(E68&gt;0,J68/E68*100,"")</x:f>
        <x:v>50.157929124016654</x:v>
      </x:c>
      <x:c r="L68" s="23" t="n">
        <x:f>IF(E68&gt;0,ABS(J68-E68),"")</x:f>
        <x:v>11.962097010236002</x:v>
      </x:c>
      <x:c r="M68" s="23" t="n">
        <x:v>0.3251068890094757</x:v>
      </x:c>
      <x:c r="N68" s="20" t="n">
        <x:v>569</x:v>
      </x:c>
      <x:c r="O68" s="20" t="str">
        <x:v>yes</x:v>
      </x:c>
    </x:row>
    <x:row r="69">
      <x:c r="A69" s="20" t="str">
        <x:v>DQ24-TB12-TH24.csv</x:v>
      </x:c>
      <x:c r="B69" s="20" t="n">
        <x:v>2</x:v>
      </x:c>
      <x:c r="C69" s="20" t="str">
        <x:v>ternary</x:v>
      </x:c>
      <x:c r="D69" s="20" t="str">
        <x:v>TBZ</x:v>
      </x:c>
      <x:c r="E69" s="23" t="n">
        <x:v>12</x:v>
      </x:c>
      <x:c r="F69" s="23" t="n">
        <x:v>31.66739133079271</x:v>
      </x:c>
      <x:c r="G69" s="23" t="n">
        <x:v>847.5369186087091</x:v>
      </x:c>
      <x:c r="H69" s="23" t="n">
        <x:v>1.2819667393538885</x:v>
      </x:c>
      <x:c r="I69" s="23" t="n">
        <x:v>13.046301980747709</x:v>
      </x:c>
      <x:c r="J69" s="23" t="n">
        <x:v>10.21900948293482</x:v>
      </x:c>
      <x:c r="K69" s="23" t="n">
        <x:f>IF(E69&gt;0,J69/E69*100,"")</x:f>
        <x:v>85.15841235779017</x:v>
      </x:c>
      <x:c r="L69" s="23" t="n">
        <x:f>IF(E69&gt;0,ABS(J69-E69),"")</x:f>
        <x:v>1.7809905170651792</x:v>
      </x:c>
      <x:c r="M69" s="23" t="n">
        <x:v>0.9015320539474487</x:v>
      </x:c>
      <x:c r="N69" s="20" t="n">
        <x:v>569</x:v>
      </x:c>
      <x:c r="O69" s="20" t="str">
        <x:v>yes</x:v>
      </x:c>
    </x:row>
    <x:row r="70">
      <x:c r="A70" s="20" t="str">
        <x:v>DQ24-TB12-TH24.csv</x:v>
      </x:c>
      <x:c r="B70" s="20" t="n">
        <x:v>2</x:v>
      </x:c>
      <x:c r="C70" s="20" t="str">
        <x:v>ternary</x:v>
      </x:c>
      <x:c r="D70" s="20" t="str">
        <x:v>THI</x:v>
      </x:c>
      <x:c r="E70" s="23" t="n">
        <x:v>24</x:v>
      </x:c>
      <x:c r="F70" s="23" t="n">
        <x:v>34.70796703337171</x:v>
      </x:c>
      <x:c r="G70" s="23" t="n">
        <x:v>8722.302121910863</x:v>
      </x:c>
      <x:c r="H70" s="23" t="n">
        <x:v>50.935023418431136</x:v>
      </x:c>
      <x:c r="I70" s="23" t="n">
        <x:v>23.6885386598427</x:v>
      </x:c>
      <x:c r="J70" s="23" t="n">
        <x:v>19.742934464843632</x:v>
      </x:c>
      <x:c r="K70" s="23" t="n">
        <x:f>IF(E70&gt;0,J70/E70*100,"")</x:f>
        <x:v>82.26222693684846</x:v>
      </x:c>
      <x:c r="L70" s="23" t="n">
        <x:f>IF(E70&gt;0,ABS(J70-E70),"")</x:f>
        <x:v>4.257065535156368</x:v>
      </x:c>
      <x:c r="M70" s="23" t="n">
        <x:v>-0.4116048216819763</x:v>
      </x:c>
      <x:c r="N70" s="20" t="n">
        <x:v>569</x:v>
      </x:c>
      <x:c r="O70" s="20" t="str">
        <x:v>yes</x:v>
      </x:c>
    </x:row>
    <x:row r="71">
      <x:c r="A71" s="20" t="str">
        <x:v>DQ24-TB3-TH12.csv</x:v>
      </x:c>
      <x:c r="B71" s="20" t="n">
        <x:v>2</x:v>
      </x:c>
      <x:c r="C71" s="20" t="str">
        <x:v>ternary</x:v>
      </x:c>
      <x:c r="D71" s="20" t="str">
        <x:v>DQ</x:v>
      </x:c>
      <x:c r="E71" s="23" t="n">
        <x:v>24</x:v>
      </x:c>
      <x:c r="F71" s="23" t="n">
        <x:v>26.382096849007148</x:v>
      </x:c>
      <x:c r="G71" s="23" t="n">
        <x:v>3198.004874939581</x:v>
      </x:c>
      <x:c r="H71" s="23" t="n">
        <x:v>1.6010357577255343</x:v>
      </x:c>
      <x:c r="I71" s="23" t="n">
        <x:v>13.835356318258782</x:v>
      </x:c>
      <x:c r="J71" s="23" t="n">
        <x:v>11.5992015618945</x:v>
      </x:c>
      <x:c r="K71" s="23" t="n">
        <x:f>IF(E71&gt;0,J71/E71*100,"")</x:f>
        <x:v>48.33000650789375</x:v>
      </x:c>
      <x:c r="L71" s="23" t="n">
        <x:f>IF(E71&gt;0,ABS(J71-E71),"")</x:f>
        <x:v>12.4007984381055</x:v>
      </x:c>
      <x:c r="M71" s="23" t="n">
        <x:v>0.8600270748138428</x:v>
      </x:c>
      <x:c r="N71" s="20" t="n">
        <x:v>569</x:v>
      </x:c>
      <x:c r="O71" s="20" t="str">
        <x:v>yes</x:v>
      </x:c>
    </x:row>
    <x:row r="72">
      <x:c r="A72" s="20" t="str">
        <x:v>DQ24-TB3-TH12.csv</x:v>
      </x:c>
      <x:c r="B72" s="20" t="n">
        <x:v>2</x:v>
      </x:c>
      <x:c r="C72" s="20" t="str">
        <x:v>ternary</x:v>
      </x:c>
      <x:c r="D72" s="20" t="str">
        <x:v>TBZ</x:v>
      </x:c>
      <x:c r="E72" s="23" t="n">
        <x:v>3</x:v>
      </x:c>
      <x:c r="F72" s="23" t="n">
        <x:v>25.168701805470995</x:v>
      </x:c>
      <x:c r="G72" s="23" t="n">
        <x:v>820.1022537864301</x:v>
      </x:c>
      <x:c r="H72" s="23" t="n">
        <x:v>1.2609101601400445</x:v>
      </x:c>
      <x:c r="I72" s="23" t="n">
        <x:v>17.67794701092648</x:v>
      </x:c>
      <x:c r="J72" s="23" t="n">
        <x:v>11.680875639463016</x:v>
      </x:c>
      <x:c r="K72" s="23" t="n">
        <x:f>IF(E72&gt;0,J72/E72*100,"")</x:f>
        <x:v>389.36252131543387</x:v>
      </x:c>
      <x:c r="L72" s="23" t="n">
        <x:f>IF(E72&gt;0,ABS(J72-E72),"")</x:f>
        <x:v>8.680875639463016</x:v>
      </x:c>
      <x:c r="M72" s="23" t="n">
        <x:v>0.9667912721633911</x:v>
      </x:c>
      <x:c r="N72" s="20" t="n">
        <x:v>569</x:v>
      </x:c>
      <x:c r="O72" s="20" t="str">
        <x:v>yes</x:v>
      </x:c>
    </x:row>
    <x:row r="73">
      <x:c r="A73" s="20" t="str">
        <x:v>DQ24-TB3-TH12.csv</x:v>
      </x:c>
      <x:c r="B73" s="20" t="n">
        <x:v>2</x:v>
      </x:c>
      <x:c r="C73" s="20" t="str">
        <x:v>ternary</x:v>
      </x:c>
      <x:c r="D73" s="20" t="str">
        <x:v>THI</x:v>
      </x:c>
      <x:c r="E73" s="23" t="n">
        <x:v>12</x:v>
      </x:c>
      <x:c r="F73" s="23" t="n">
        <x:v>48.449201345421855</x:v>
      </x:c>
      <x:c r="G73" s="23" t="n">
        <x:v>9068.87621667829</x:v>
      </x:c>
      <x:c r="H73" s="23" t="n">
        <x:v>60.65066323548274</x:v>
      </x:c>
      <x:c r="I73" s="23" t="n">
        <x:v>43.9786816247429</x:v>
      </x:c>
      <x:c r="J73" s="23" t="n">
        <x:v>38.2416722470598</x:v>
      </x:c>
      <x:c r="K73" s="23" t="n">
        <x:f>IF(E73&gt;0,J73/E73*100,"")</x:f>
        <x:v>318.6806020588317</x:v>
      </x:c>
      <x:c r="L73" s="23" t="n">
        <x:f>IF(E73&gt;0,ABS(J73-E73),"")</x:f>
        <x:v>26.241672247059803</x:v>
      </x:c>
      <x:c r="M73" s="23" t="n">
        <x:v>-0.20029866695404053</x:v>
      </x:c>
      <x:c r="N73" s="20" t="n">
        <x:v>569</x:v>
      </x:c>
      <x:c r="O73" s="20" t="str">
        <x:v>yes</x:v>
      </x:c>
    </x:row>
    <x:row r="74">
      <x:c r="A74" s="20" t="str">
        <x:v>DQ24-TB3-TH24.csv</x:v>
      </x:c>
      <x:c r="B74" s="20" t="n">
        <x:v>2</x:v>
      </x:c>
      <x:c r="C74" s="20" t="str">
        <x:v>ternary</x:v>
      </x:c>
      <x:c r="D74" s="20" t="str">
        <x:v>DQ</x:v>
      </x:c>
      <x:c r="E74" s="23" t="n">
        <x:v>24</x:v>
      </x:c>
      <x:c r="F74" s="23" t="n">
        <x:v>17.598295069730415</x:v>
      </x:c>
      <x:c r="G74" s="23" t="n">
        <x:v>2897.2901499435575</x:v>
      </x:c>
      <x:c r="H74" s="23" t="n">
        <x:v>1.3784494367198192</x:v>
      </x:c>
      <x:c r="I74" s="23" t="n">
        <x:v>6.971087940730713</x:v>
      </x:c>
      <x:c r="J74" s="23" t="n">
        <x:v>3.307913651707559</x:v>
      </x:c>
      <x:c r="K74" s="23" t="n">
        <x:f>IF(E74&gt;0,J74/E74*100,"")</x:f>
        <x:v>13.782973548781497</x:v>
      </x:c>
      <x:c r="L74" s="23" t="n">
        <x:f>IF(E74&gt;0,ABS(J74-E74),"")</x:f>
        <x:v>20.69208634829244</x:v>
      </x:c>
      <x:c r="M74" s="23" t="n">
        <x:v>0.3801633417606354</x:v>
      </x:c>
      <x:c r="N74" s="20" t="n">
        <x:v>569</x:v>
      </x:c>
      <x:c r="O74" s="20" t="str">
        <x:v>yes</x:v>
      </x:c>
    </x:row>
    <x:row r="75">
      <x:c r="A75" s="20" t="str">
        <x:v>DQ24-TB3-TH24.csv</x:v>
      </x:c>
      <x:c r="B75" s="20" t="n">
        <x:v>2</x:v>
      </x:c>
      <x:c r="C75" s="20" t="str">
        <x:v>ternary</x:v>
      </x:c>
      <x:c r="D75" s="20" t="str">
        <x:v>TBZ</x:v>
      </x:c>
      <x:c r="E75" s="23" t="n">
        <x:v>3</x:v>
      </x:c>
      <x:c r="F75" s="23" t="n">
        <x:v>32.65908675602281</x:v>
      </x:c>
      <x:c r="G75" s="23" t="n">
        <x:v>602.4307128427679</x:v>
      </x:c>
      <x:c r="H75" s="23" t="n">
        <x:v>1.1056474342569795</x:v>
      </x:c>
      <x:c r="I75" s="23" t="n">
        <x:v>11.735828865527592</x:v>
      </x:c>
      <x:c r="J75" s="23" t="n">
        <x:v>6.588009098429436</x:v>
      </x:c>
      <x:c r="K75" s="23" t="n">
        <x:f>IF(E75&gt;0,J75/E75*100,"")</x:f>
        <x:v>219.6003032809812</x:v>
      </x:c>
      <x:c r="L75" s="23" t="n">
        <x:f>IF(E75&gt;0,ABS(J75-E75),"")</x:f>
        <x:v>3.5880090984294357</x:v>
      </x:c>
      <x:c r="M75" s="23" t="n">
        <x:v>0.7751375436782837</x:v>
      </x:c>
      <x:c r="N75" s="20" t="n">
        <x:v>569</x:v>
      </x:c>
      <x:c r="O75" s="20" t="str">
        <x:v>yes</x:v>
      </x:c>
    </x:row>
    <x:row r="76">
      <x:c r="A76" s="20" t="str">
        <x:v>DQ24-TB3-TH24.csv</x:v>
      </x:c>
      <x:c r="B76" s="20" t="n">
        <x:v>2</x:v>
      </x:c>
      <x:c r="C76" s="20" t="str">
        <x:v>ternary</x:v>
      </x:c>
      <x:c r="D76" s="20" t="str">
        <x:v>THI</x:v>
      </x:c>
      <x:c r="E76" s="23" t="n">
        <x:v>24</x:v>
      </x:c>
      <x:c r="F76" s="23" t="n">
        <x:v>49.742618174146756</x:v>
      </x:c>
      <x:c r="G76" s="23" t="n">
        <x:v>6889.876268901589</x:v>
      </x:c>
      <x:c r="H76" s="23" t="n">
        <x:v>20.23679990653447</x:v>
      </x:c>
      <x:c r="I76" s="23" t="n">
        <x:v>23.00764489945646</x:v>
      </x:c>
      <x:c r="J76" s="23" t="n">
        <x:v>16.258000987685577</x:v>
      </x:c>
      <x:c r="K76" s="23" t="n">
        <x:f>IF(E76&gt;0,J76/E76*100,"")</x:f>
        <x:v>67.74167078202323</x:v>
      </x:c>
      <x:c r="L76" s="23" t="n">
        <x:f>IF(E76&gt;0,ABS(J76-E76),"")</x:f>
        <x:v>7.741999012314423</x:v>
      </x:c>
      <x:c r="M76" s="23" t="n">
        <x:v>-0.09507470577955246</x:v>
      </x:c>
      <x:c r="N76" s="20" t="n">
        <x:v>569</x:v>
      </x:c>
      <x:c r="O76" s="20" t="str">
        <x:v>yes</x:v>
      </x:c>
    </x:row>
    <x:row r="77">
      <x:c r="A77" s="20" t="str">
        <x:v>DQ24-TB6-TH24.csv</x:v>
      </x:c>
      <x:c r="B77" s="20" t="n">
        <x:v>2</x:v>
      </x:c>
      <x:c r="C77" s="20" t="str">
        <x:v>ternary</x:v>
      </x:c>
      <x:c r="D77" s="20" t="str">
        <x:v>DQ</x:v>
      </x:c>
      <x:c r="E77" s="23" t="n">
        <x:v>24</x:v>
      </x:c>
      <x:c r="F77" s="23" t="n">
        <x:v>32.62079315250429</x:v>
      </x:c>
      <x:c r="G77" s="23" t="n">
        <x:v>3139.5567624252158</x:v>
      </x:c>
      <x:c r="H77" s="23" t="n">
        <x:v>1.5551253173219655</x:v>
      </x:c>
      <x:c r="I77" s="23" t="n">
        <x:v>12.42734233601396</x:v>
      </x:c>
      <x:c r="J77" s="23" t="n">
        <x:v>8.738498250732889</x:v>
      </x:c>
      <x:c r="K77" s="23" t="n">
        <x:f>IF(E77&gt;0,J77/E77*100,"")</x:f>
        <x:v>36.41040937805371</x:v>
      </x:c>
      <x:c r="L77" s="23" t="n">
        <x:f>IF(E77&gt;0,ABS(J77-E77),"")</x:f>
        <x:v>15.261501749267111</x:v>
      </x:c>
      <x:c r="M77" s="23" t="n">
        <x:v>0.7496713995933533</x:v>
      </x:c>
      <x:c r="N77" s="20" t="n">
        <x:v>569</x:v>
      </x:c>
      <x:c r="O77" s="20" t="str">
        <x:v>yes</x:v>
      </x:c>
    </x:row>
    <x:row r="78">
      <x:c r="A78" s="20" t="str">
        <x:v>DQ24-TB6-TH24.csv</x:v>
      </x:c>
      <x:c r="B78" s="20" t="n">
        <x:v>2</x:v>
      </x:c>
      <x:c r="C78" s="20" t="str">
        <x:v>ternary</x:v>
      </x:c>
      <x:c r="D78" s="20" t="str">
        <x:v>TBZ</x:v>
      </x:c>
      <x:c r="E78" s="23" t="n">
        <x:v>6</x:v>
      </x:c>
      <x:c r="F78" s="23" t="n">
        <x:v>22.37363945848839</x:v>
      </x:c>
      <x:c r="G78" s="23" t="n">
        <x:v>399.76684010594204</x:v>
      </x:c>
      <x:c r="H78" s="23" t="n">
        <x:v>0.978326410848479</x:v>
      </x:c>
      <x:c r="I78" s="23" t="n">
        <x:v>10.537468240512224</x:v>
      </x:c>
      <x:c r="J78" s="23" t="n">
        <x:v>6.590073006526407</x:v>
      </x:c>
      <x:c r="K78" s="23" t="n">
        <x:f>IF(E78&gt;0,J78/E78*100,"")</x:f>
        <x:v>109.83455010877346</x:v>
      </x:c>
      <x:c r="L78" s="23" t="n">
        <x:f>IF(E78&gt;0,ABS(J78-E78),"")</x:f>
        <x:v>0.5900730065264073</x:v>
      </x:c>
      <x:c r="M78" s="23" t="n">
        <x:v>0.8284064531326294</x:v>
      </x:c>
      <x:c r="N78" s="20" t="n">
        <x:v>569</x:v>
      </x:c>
      <x:c r="O78" s="20" t="str">
        <x:v>yes</x:v>
      </x:c>
    </x:row>
    <x:row r="79">
      <x:c r="A79" s="20" t="str">
        <x:v>DQ24-TB6-TH24.csv</x:v>
      </x:c>
      <x:c r="B79" s="20" t="n">
        <x:v>2</x:v>
      </x:c>
      <x:c r="C79" s="20" t="str">
        <x:v>ternary</x:v>
      </x:c>
      <x:c r="D79" s="20" t="str">
        <x:v>THI</x:v>
      </x:c>
      <x:c r="E79" s="23" t="n">
        <x:v>24</x:v>
      </x:c>
      <x:c r="F79" s="23" t="n">
        <x:v>45.00556738890733</x:v>
      </x:c>
      <x:c r="G79" s="23" t="n">
        <x:v>6880.539120244483</x:v>
      </x:c>
      <x:c r="H79" s="23" t="n">
        <x:v>20.141841574675492</x:v>
      </x:c>
      <x:c r="I79" s="23" t="n">
        <x:v>21.432017967299267</x:v>
      </x:c>
      <x:c r="J79" s="23" t="n">
        <x:v>21.935769000280043</x:v>
      </x:c>
      <x:c r="K79" s="23" t="n">
        <x:f>IF(E79&gt;0,J79/E79*100,"")</x:f>
        <x:v>91.39903750116684</x:v>
      </x:c>
      <x:c r="L79" s="23" t="n">
        <x:f>IF(E79&gt;0,ABS(J79-E79),"")</x:f>
        <x:v>2.064230999719957</x:v>
      </x:c>
      <x:c r="M79" s="23" t="n">
        <x:v>0.03705368563532829</x:v>
      </x:c>
      <x:c r="N79" s="20" t="n">
        <x:v>569</x:v>
      </x:c>
      <x:c r="O79" s="20" t="str">
        <x:v>yes</x:v>
      </x:c>
    </x:row>
    <x:row r="80">
      <x:c r="A80" s="20" t="str">
        <x:v>DQ24-TB6-TH6.csv</x:v>
      </x:c>
      <x:c r="B80" s="20" t="n">
        <x:v>2</x:v>
      </x:c>
      <x:c r="C80" s="20" t="str">
        <x:v>ternary</x:v>
      </x:c>
      <x:c r="D80" s="20" t="str">
        <x:v>DQ</x:v>
      </x:c>
      <x:c r="E80" s="23" t="n">
        <x:v>24</x:v>
      </x:c>
      <x:c r="F80" s="23" t="n">
        <x:v>46.86096641185129</x:v>
      </x:c>
      <x:c r="G80" s="23" t="n">
        <x:v>6023.489312347071</x:v>
      </x:c>
      <x:c r="H80" s="23" t="n">
        <x:v>6.5347663218901415</x:v>
      </x:c>
      <x:c r="I80" s="23" t="n">
        <x:v>20.305536332491208</x:v>
      </x:c>
      <x:c r="J80" s="23" t="n">
        <x:v>12.46448269232865</x:v>
      </x:c>
      <x:c r="K80" s="23" t="n">
        <x:f>IF(E80&gt;0,J80/E80*100,"")</x:f>
        <x:v>51.935344551369376</x:v>
      </x:c>
      <x:c r="L80" s="23" t="n">
        <x:f>IF(E80&gt;0,ABS(J80-E80),"")</x:f>
        <x:v>11.53551730767135</x:v>
      </x:c>
      <x:c r="M80" s="23" t="n">
        <x:v>0.2804442048072815</x:v>
      </x:c>
      <x:c r="N80" s="20" t="n">
        <x:v>569</x:v>
      </x:c>
      <x:c r="O80" s="20" t="str">
        <x:v>yes</x:v>
      </x:c>
    </x:row>
    <x:row r="81">
      <x:c r="A81" s="20" t="str">
        <x:v>DQ24-TB6-TH6.csv</x:v>
      </x:c>
      <x:c r="B81" s="20" t="n">
        <x:v>2</x:v>
      </x:c>
      <x:c r="C81" s="20" t="str">
        <x:v>ternary</x:v>
      </x:c>
      <x:c r="D81" s="20" t="str">
        <x:v>TBZ</x:v>
      </x:c>
      <x:c r="E81" s="23" t="n">
        <x:v>6</x:v>
      </x:c>
      <x:c r="F81" s="23" t="n">
        <x:v>30.73726028494895</x:v>
      </x:c>
      <x:c r="G81" s="23" t="n">
        <x:v>1033.5474481244594</x:v>
      </x:c>
      <x:c r="H81" s="23" t="n">
        <x:v>1.4343118757527082</x:v>
      </x:c>
      <x:c r="I81" s="23" t="n">
        <x:v>9.019730472197748</x:v>
      </x:c>
      <x:c r="J81" s="23" t="n">
        <x:v>8.102198909249934</x:v>
      </x:c>
      <x:c r="K81" s="23" t="n">
        <x:f>IF(E81&gt;0,J81/E81*100,"")</x:f>
        <x:v>135.0366484874989</x:v>
      </x:c>
      <x:c r="L81" s="23" t="n">
        <x:f>IF(E81&gt;0,ABS(J81-E81),"")</x:f>
        <x:v>2.1021989092499336</x:v>
      </x:c>
      <x:c r="M81" s="23" t="n">
        <x:v>0.7519593238830566</x:v>
      </x:c>
      <x:c r="N81" s="20" t="n">
        <x:v>569</x:v>
      </x:c>
      <x:c r="O81" s="20" t="str">
        <x:v>yes</x:v>
      </x:c>
    </x:row>
    <x:row r="82">
      <x:c r="A82" s="20" t="str">
        <x:v>DQ24-TB6-TH6.csv</x:v>
      </x:c>
      <x:c r="B82" s="20" t="n">
        <x:v>2</x:v>
      </x:c>
      <x:c r="C82" s="20" t="str">
        <x:v>ternary</x:v>
      </x:c>
      <x:c r="D82" s="20" t="str">
        <x:v>THI</x:v>
      </x:c>
      <x:c r="E82" s="23" t="n">
        <x:v>6</x:v>
      </x:c>
      <x:c r="F82" s="23" t="n">
        <x:v>22.401773303099766</x:v>
      </x:c>
      <x:c r="G82" s="23" t="n">
        <x:v>6416.900159436322</x:v>
      </x:c>
      <x:c r="H82" s="23" t="n">
        <x:v>15.946676297998385</x:v>
      </x:c>
      <x:c r="I82" s="23" t="n">
        <x:v>10.993065654087406</x:v>
      </x:c>
      <x:c r="J82" s="23" t="n">
        <x:v>9.117530947577096</x:v>
      </x:c>
      <x:c r="K82" s="23" t="n">
        <x:f>IF(E82&gt;0,J82/E82*100,"")</x:f>
        <x:v>151.95884912628495</x:v>
      </x:c>
      <x:c r="L82" s="23" t="n">
        <x:f>IF(E82&gt;0,ABS(J82-E82),"")</x:f>
        <x:v>3.1175309475770963</x:v>
      </x:c>
      <x:c r="M82" s="23" t="n">
        <x:v>-0.24279293417930603</x:v>
      </x:c>
      <x:c r="N82" s="20" t="n">
        <x:v>569</x:v>
      </x:c>
      <x:c r="O82" s="20" t="str">
        <x:v>yes</x:v>
      </x:c>
    </x:row>
    <x:row r="83">
      <x:c r="A83" s="20" t="str">
        <x:v>DQ3-TB12-TH12.csv</x:v>
      </x:c>
      <x:c r="B83" s="20" t="n">
        <x:v>2</x:v>
      </x:c>
      <x:c r="C83" s="20" t="str">
        <x:v>ternary</x:v>
      </x:c>
      <x:c r="D83" s="20" t="str">
        <x:v>DQ</x:v>
      </x:c>
      <x:c r="E83" s="23" t="n">
        <x:v>3</x:v>
      </x:c>
      <x:c r="F83" s="23" t="n">
        <x:v>23.634065604085972</x:v>
      </x:c>
      <x:c r="G83" s="23" t="n">
        <x:v>3341.915233528066</x:v>
      </x:c>
      <x:c r="H83" s="23" t="n">
        <x:v>1.7199363608217828</x:v>
      </x:c>
      <x:c r="I83" s="23" t="n">
        <x:v>6.147855011590689</x:v>
      </x:c>
      <x:c r="J83" s="23" t="n">
        <x:v>3.489317923148161</x:v>
      </x:c>
      <x:c r="K83" s="23" t="n">
        <x:f>IF(E83&gt;0,J83/E83*100,"")</x:f>
        <x:v>116.31059743827204</x:v>
      </x:c>
      <x:c r="L83" s="23" t="n">
        <x:f>IF(E83&gt;0,ABS(J83-E83),"")</x:f>
        <x:v>0.4893179231481608</x:v>
      </x:c>
      <x:c r="M83" s="23" t="n">
        <x:v>0.307228147983551</x:v>
      </x:c>
      <x:c r="N83" s="20" t="n">
        <x:v>569</x:v>
      </x:c>
      <x:c r="O83" s="20" t="str">
        <x:v>yes</x:v>
      </x:c>
    </x:row>
    <x:row r="84">
      <x:c r="A84" s="20" t="str">
        <x:v>DQ3-TB12-TH12.csv</x:v>
      </x:c>
      <x:c r="B84" s="20" t="n">
        <x:v>2</x:v>
      </x:c>
      <x:c r="C84" s="20" t="str">
        <x:v>ternary</x:v>
      </x:c>
      <x:c r="D84" s="20" t="str">
        <x:v>TBZ</x:v>
      </x:c>
      <x:c r="E84" s="23" t="n">
        <x:v>12</x:v>
      </x:c>
      <x:c r="F84" s="23" t="n">
        <x:v>35.0428963981841</x:v>
      </x:c>
      <x:c r="G84" s="23" t="n">
        <x:v>749.2197861972903</x:v>
      </x:c>
      <x:c r="H84" s="23" t="n">
        <x:v>1.208093962190102</x:v>
      </x:c>
      <x:c r="I84" s="23" t="n">
        <x:v>8.78917229490053</x:v>
      </x:c>
      <x:c r="J84" s="23" t="n">
        <x:v>5.328449408942155</x:v>
      </x:c>
      <x:c r="K84" s="23" t="n">
        <x:f>IF(E84&gt;0,J84/E84*100,"")</x:f>
        <x:v>44.40374507451796</x:v>
      </x:c>
      <x:c r="L84" s="23" t="n">
        <x:f>IF(E84&gt;0,ABS(J84-E84),"")</x:f>
        <x:v>6.671550591057845</x:v>
      </x:c>
      <x:c r="M84" s="23" t="n">
        <x:v>0.6445001363754272</x:v>
      </x:c>
      <x:c r="N84" s="20" t="n">
        <x:v>569</x:v>
      </x:c>
      <x:c r="O84" s="20" t="str">
        <x:v>yes</x:v>
      </x:c>
    </x:row>
    <x:row r="85">
      <x:c r="A85" s="20" t="str">
        <x:v>DQ3-TB12-TH12.csv</x:v>
      </x:c>
      <x:c r="B85" s="20" t="n">
        <x:v>2</x:v>
      </x:c>
      <x:c r="C85" s="20" t="str">
        <x:v>ternary</x:v>
      </x:c>
      <x:c r="D85" s="20" t="str">
        <x:v>THI</x:v>
      </x:c>
      <x:c r="E85" s="23" t="n">
        <x:v>12</x:v>
      </x:c>
      <x:c r="F85" s="23" t="n">
        <x:v>41.32303799762994</x:v>
      </x:c>
      <x:c r="G85" s="23" t="n">
        <x:v>5326.820807695275</x:v>
      </x:c>
      <x:c r="H85" s="23" t="n">
        <x:v>9.208662818823278</x:v>
      </x:c>
      <x:c r="I85" s="23" t="n">
        <x:v>12.596689987951276</x:v>
      </x:c>
      <x:c r="J85" s="23" t="n">
        <x:v>9.978051868331507</x:v>
      </x:c>
      <x:c r="K85" s="23" t="n">
        <x:f>IF(E85&gt;0,J85/E85*100,"")</x:f>
        <x:v>83.1504322360959</x:v>
      </x:c>
      <x:c r="L85" s="23" t="n">
        <x:f>IF(E85&gt;0,ABS(J85-E85),"")</x:f>
        <x:v>2.021948131668493</x:v>
      </x:c>
      <x:c r="M85" s="23" t="n">
        <x:v>0.03484916314482689</x:v>
      </x:c>
      <x:c r="N85" s="20" t="n">
        <x:v>569</x:v>
      </x:c>
      <x:c r="O85" s="20" t="str">
        <x:v>yes</x:v>
      </x:c>
    </x:row>
    <x:row r="86">
      <x:c r="A86" s="20" t="str">
        <x:v>DQ3-TB6-TH12.csv</x:v>
      </x:c>
      <x:c r="B86" s="20" t="n">
        <x:v>2</x:v>
      </x:c>
      <x:c r="C86" s="20" t="str">
        <x:v>ternary</x:v>
      </x:c>
      <x:c r="D86" s="20" t="str">
        <x:v>DQ</x:v>
      </x:c>
      <x:c r="E86" s="23" t="n">
        <x:v>3</x:v>
      </x:c>
      <x:c r="F86" s="23" t="n">
        <x:v>23.50791368020103</x:v>
      </x:c>
      <x:c r="G86" s="23" t="n">
        <x:v>3467.7746278350464</x:v>
      </x:c>
      <x:c r="H86" s="23" t="n">
        <x:v>1.8311392250344867</x:v>
      </x:c>
      <x:c r="I86" s="23" t="n">
        <x:v>8.863126202534373</x:v>
      </x:c>
      <x:c r="J86" s="23" t="n">
        <x:v>5.188485676107301</x:v>
      </x:c>
      <x:c r="K86" s="23" t="n">
        <x:f>IF(E86&gt;0,J86/E86*100,"")</x:f>
        <x:v>172.94952253691002</x:v>
      </x:c>
      <x:c r="L86" s="23" t="n">
        <x:f>IF(E86&gt;0,ABS(J86-E86),"")</x:f>
        <x:v>2.188485676107301</x:v>
      </x:c>
      <x:c r="M86" s="23" t="n">
        <x:v>0.45231926441192627</x:v>
      </x:c>
      <x:c r="N86" s="20" t="n">
        <x:v>569</x:v>
      </x:c>
      <x:c r="O86" s="20" t="str">
        <x:v>yes</x:v>
      </x:c>
    </x:row>
    <x:row r="87">
      <x:c r="A87" s="20" t="str">
        <x:v>DQ3-TB6-TH12.csv</x:v>
      </x:c>
      <x:c r="B87" s="20" t="n">
        <x:v>2</x:v>
      </x:c>
      <x:c r="C87" s="20" t="str">
        <x:v>ternary</x:v>
      </x:c>
      <x:c r="D87" s="20" t="str">
        <x:v>TBZ</x:v>
      </x:c>
      <x:c r="E87" s="23" t="n">
        <x:v>6</x:v>
      </x:c>
      <x:c r="F87" s="23" t="n">
        <x:v>32.04019500610251</x:v>
      </x:c>
      <x:c r="G87" s="23" t="n">
        <x:v>465.91527948113105</x:v>
      </x:c>
      <x:c r="H87" s="23" t="n">
        <x:v>1.0181835506123247</x:v>
      </x:c>
      <x:c r="I87" s="23" t="n">
        <x:v>10.715446621911662</x:v>
      </x:c>
      <x:c r="J87" s="23" t="n">
        <x:v>6.580044307460753</x:v>
      </x:c>
      <x:c r="K87" s="23" t="n">
        <x:f>IF(E87&gt;0,J87/E87*100,"")</x:f>
        <x:v>109.66740512434588</x:v>
      </x:c>
      <x:c r="L87" s="23" t="n">
        <x:f>IF(E87&gt;0,ABS(J87-E87),"")</x:f>
        <x:v>0.5800443074607529</x:v>
      </x:c>
      <x:c r="M87" s="23" t="n">
        <x:v>0.8104027509689331</x:v>
      </x:c>
      <x:c r="N87" s="20" t="n">
        <x:v>569</x:v>
      </x:c>
      <x:c r="O87" s="20" t="str">
        <x:v>yes</x:v>
      </x:c>
    </x:row>
    <x:row r="88">
      <x:c r="A88" s="20" t="str">
        <x:v>DQ3-TB6-TH12.csv</x:v>
      </x:c>
      <x:c r="B88" s="20" t="n">
        <x:v>2</x:v>
      </x:c>
      <x:c r="C88" s="20" t="str">
        <x:v>ternary</x:v>
      </x:c>
      <x:c r="D88" s="20" t="str">
        <x:v>THI</x:v>
      </x:c>
      <x:c r="E88" s="23" t="n">
        <x:v>12</x:v>
      </x:c>
      <x:c r="F88" s="23" t="n">
        <x:v>44.45189131359646</x:v>
      </x:c>
      <x:c r="G88" s="23" t="n">
        <x:v>6457.328499980854</x:v>
      </x:c>
      <x:c r="H88" s="23" t="n">
        <x:v>16.274759271609206</x:v>
      </x:c>
      <x:c r="I88" s="23" t="n">
        <x:v>18.434784923232872</x:v>
      </x:c>
      <x:c r="J88" s="23" t="n">
        <x:v>13.797393899082609</x:v>
      </x:c>
      <x:c r="K88" s="23" t="n">
        <x:f>IF(E88&gt;0,J88/E88*100,"")</x:f>
        <x:v>114.97828249235506</x:v>
      </x:c>
      <x:c r="L88" s="23" t="n">
        <x:f>IF(E88&gt;0,ABS(J88-E88),"")</x:f>
        <x:v>1.7973938990826088</x:v>
      </x:c>
      <x:c r="M88" s="23" t="n">
        <x:v>-0.0717175230383873</x:v>
      </x:c>
      <x:c r="N88" s="20" t="n">
        <x:v>569</x:v>
      </x:c>
      <x:c r="O88" s="20" t="str">
        <x:v>yes</x:v>
      </x:c>
    </x:row>
    <x:row r="89">
      <x:c r="A89" s="20" t="str">
        <x:v>DQ50-TB0-TH500.csv</x:v>
      </x:c>
      <x:c r="B89" s="20" t="n">
        <x:v>2</x:v>
      </x:c>
      <x:c r="C89" s="20" t="str">
        <x:v>binary</x:v>
      </x:c>
      <x:c r="D89" s="20" t="str">
        <x:v>DQ</x:v>
      </x:c>
      <x:c r="E89" s="23" t="n">
        <x:v>50</x:v>
      </x:c>
      <x:c r="F89" s="23" t="n">
        <x:v>18.543774531577736</x:v>
      </x:c>
      <x:c r="G89" s="23" t="n">
        <x:v>239.36856839182</x:v>
      </x:c>
      <x:c r="H89" s="23" t="n">
        <x:v>0.3671017756620667</x:v>
      </x:c>
      <x:c r="I89" s="23" t="n">
        <x:v>36.71017756620667</x:v>
      </x:c>
      <x:c r="J89" s="23" t="n">
        <x:v>36.71017756620667</x:v>
      </x:c>
      <x:c r="K89" s="23" t="n">
        <x:f>IF(E89&gt;0,J89/E89*100,"")</x:f>
        <x:v>73.42035513241333</x:v>
      </x:c>
      <x:c r="L89" s="23" t="n">
        <x:f>IF(E89&gt;0,ABS(J89-E89),"")</x:f>
        <x:v>13.289822433793333</x:v>
      </x:c>
      <x:c r="M89" s="23" t="n">
        <x:v>2.1893486976623535</x:v>
      </x:c>
      <x:c r="N89" s="20" t="n">
        <x:v>569</x:v>
      </x:c>
      <x:c r="O89" s="20" t="str">
        <x:v>no</x:v>
      </x:c>
    </x:row>
    <x:row r="90">
      <x:c r="A90" s="20" t="str">
        <x:v>DQ50-TB0-TH500.csv</x:v>
      </x:c>
      <x:c r="B90" s="20" t="n">
        <x:v>2</x:v>
      </x:c>
      <x:c r="C90" s="20" t="str">
        <x:v>binary</x:v>
      </x:c>
      <x:c r="D90" s="20" t="str">
        <x:v>TBZ</x:v>
      </x:c>
      <x:c r="E90" s="23" t="n">
        <x:v>0</x:v>
      </x:c>
      <x:c r="F90" s="23" t="n">
        <x:v>4.568212135658485</x:v>
      </x:c>
      <x:c r="G90" s="23" t="n">
        <x:v>307.88923242466416</x:v>
      </x:c>
      <x:c r="H90" s="23" t="n">
        <x:v>0.925541720449255</x:v>
      </x:c>
      <x:c r="I90" s="23" t="n">
        <x:v>54.14401160053105</x:v>
      </x:c>
      <x:c r="J90" s="23" t="n">
        <x:v>38.076478646828605</x:v>
      </x:c>
      <x:c r="K90" s="23" t="str">
        <x:f>IF(E90&gt;0,J90/E90*100,"")</x:f>
      </x:c>
      <x:c r="L90" s="23" t="str">
        <x:f>IF(E90&gt;0,ABS(J90-E90),"")</x:f>
      </x:c>
      <x:c r="M90" s="23" t="n">
        <x:v>1.6142607927322388</x:v>
      </x:c>
      <x:c r="N90" s="20" t="n">
        <x:v>569</x:v>
      </x:c>
      <x:c r="O90" s="20" t="str">
        <x:v>no</x:v>
      </x:c>
    </x:row>
    <x:row r="91">
      <x:c r="A91" s="20" t="str">
        <x:v>DQ50-TB0-TH500.csv</x:v>
      </x:c>
      <x:c r="B91" s="20" t="n">
        <x:v>2</x:v>
      </x:c>
      <x:c r="C91" s="20" t="str">
        <x:v>binary</x:v>
      </x:c>
      <x:c r="D91" s="20" t="str">
        <x:v>THI</x:v>
      </x:c>
      <x:c r="E91" s="23" t="n">
        <x:v>500</x:v>
      </x:c>
      <x:c r="F91" s="23" t="n">
        <x:v>76.88801333266376</x:v>
      </x:c>
      <x:c r="G91" s="23" t="n">
        <x:v>15224.47753668547</x:v>
      </x:c>
      <x:c r="H91" s="23" t="n">
        <x:v>100</x:v>
      </x:c>
      <x:c r="I91" s="23" t="n">
        <x:v>322.2696420099323</x:v>
      </x:c>
      <x:c r="J91" s="23" t="n">
        <x:v>292.209529876709</x:v>
      </x:c>
      <x:c r="K91" s="23" t="n">
        <x:f>IF(E91&gt;0,J91/E91*100,"")</x:f>
        <x:v>58.441905975341804</x:v>
      </x:c>
      <x:c r="L91" s="23" t="n">
        <x:f>IF(E91&gt;0,ABS(J91-E91),"")</x:f>
        <x:v>207.79047012329102</x:v>
      </x:c>
      <x:c r="M91" s="23" t="n">
        <x:v>0.4656943678855896</x:v>
      </x:c>
      <x:c r="N91" s="20" t="n">
        <x:v>569</x:v>
      </x:c>
      <x:c r="O91" s="20" t="str">
        <x:v>no</x:v>
      </x:c>
    </x:row>
    <x:row r="92">
      <x:c r="A92" s="20" t="str">
        <x:v>DQ50-TB250-TH0.csv</x:v>
      </x:c>
      <x:c r="B92" s="20" t="n">
        <x:v>2</x:v>
      </x:c>
      <x:c r="C92" s="20" t="str">
        <x:v>binary</x:v>
      </x:c>
      <x:c r="D92" s="20" t="str">
        <x:v>DQ</x:v>
      </x:c>
      <x:c r="E92" s="23" t="n">
        <x:v>50</x:v>
      </x:c>
      <x:c r="F92" s="23" t="n">
        <x:v>4.611619225995527</x:v>
      </x:c>
      <x:c r="G92" s="23" t="n">
        <x:v>6369.2796561010355</x:v>
      </x:c>
      <x:c r="H92" s="23" t="n">
        <x:v>7.762202223196125</x:v>
      </x:c>
      <x:c r="I92" s="23" t="n">
        <x:v>17.268438223368552</x:v>
      </x:c>
      <x:c r="J92" s="23" t="n">
        <x:v>17.55846480833162</x:v>
      </x:c>
      <x:c r="K92" s="23" t="n">
        <x:f>IF(E92&gt;0,J92/E92*100,"")</x:f>
        <x:v>35.11692961666324</x:v>
      </x:c>
      <x:c r="L92" s="23" t="n">
        <x:f>IF(E92&gt;0,ABS(J92-E92),"")</x:f>
        <x:v>32.44153519166838</x:v>
      </x:c>
      <x:c r="M92" s="23" t="n">
        <x:v>0.3545015752315521</x:v>
      </x:c>
      <x:c r="N92" s="20" t="n">
        <x:v>569</x:v>
      </x:c>
      <x:c r="O92" s="20" t="str">
        <x:v>no</x:v>
      </x:c>
    </x:row>
    <x:row r="93">
      <x:c r="A93" s="20" t="str">
        <x:v>DQ50-TB250-TH0.csv</x:v>
      </x:c>
      <x:c r="B93" s="20" t="n">
        <x:v>2</x:v>
      </x:c>
      <x:c r="C93" s="20" t="str">
        <x:v>binary</x:v>
      </x:c>
      <x:c r="D93" s="20" t="str">
        <x:v>TBZ</x:v>
      </x:c>
      <x:c r="E93" s="23" t="n">
        <x:v>250</x:v>
      </x:c>
      <x:c r="F93" s="23" t="n">
        <x:v>94.69982063457954</x:v>
      </x:c>
      <x:c r="G93" s="23" t="n">
        <x:v>4617.7704246400535</x:v>
      </x:c>
      <x:c r="H93" s="23" t="n">
        <x:v>12.483263064594599</x:v>
      </x:c>
      <x:c r="I93" s="23" t="n">
        <x:v>179.04715380171203</x:v>
      </x:c>
      <x:c r="J93" s="23" t="n">
        <x:v>122.19381129369222</x:v>
      </x:c>
      <x:c r="K93" s="23" t="n">
        <x:f>IF(E93&gt;0,J93/E93*100,"")</x:f>
        <x:v>48.877524517476886</x:v>
      </x:c>
      <x:c r="L93" s="23" t="n">
        <x:f>IF(E93&gt;0,ABS(J93-E93),"")</x:f>
        <x:v>127.80618870630778</x:v>
      </x:c>
      <x:c r="M93" s="23" t="n">
        <x:v>0.9907211065292358</x:v>
      </x:c>
      <x:c r="N93" s="20" t="n">
        <x:v>569</x:v>
      </x:c>
      <x:c r="O93" s="20" t="str">
        <x:v>no</x:v>
      </x:c>
    </x:row>
    <x:row r="94">
      <x:c r="A94" s="20" t="str">
        <x:v>DQ50-TB250-TH0.csv</x:v>
      </x:c>
      <x:c r="B94" s="20" t="n">
        <x:v>2</x:v>
      </x:c>
      <x:c r="C94" s="20" t="str">
        <x:v>binary</x:v>
      </x:c>
      <x:c r="D94" s="20" t="str">
        <x:v>THI</x:v>
      </x:c>
      <x:c r="E94" s="23" t="n">
        <x:v>0</x:v>
      </x:c>
      <x:c r="F94" s="23" t="n">
        <x:v>0.688560139324938</x:v>
      </x:c>
      <x:c r="G94" s="23" t="n">
        <x:v>583.2881567976951</x:v>
      </x:c>
      <x:c r="H94" s="23" t="n">
        <x:v>0.8442425100842664</x:v>
      </x:c>
      <x:c r="I94" s="23" t="n">
        <x:v>2.8374855014264133</x:v>
      </x:c>
      <x:c r="J94" s="23" t="n">
        <x:v>4.76678153562435</x:v>
      </x:c>
      <x:c r="K94" s="23" t="str">
        <x:f>IF(E94&gt;0,J94/E94*100,"")</x:f>
      </x:c>
      <x:c r="L94" s="23" t="str">
        <x:f>IF(E94&gt;0,ABS(J94-E94),"")</x:f>
      </x:c>
      <x:c r="M94" s="23" t="n">
        <x:v>0.7517580389976501</x:v>
      </x:c>
      <x:c r="N94" s="20" t="n">
        <x:v>569</x:v>
      </x:c>
      <x:c r="O94" s="20" t="str">
        <x:v>no</x:v>
      </x:c>
    </x:row>
    <x:row r="95">
      <x:c r="A95" s="20" t="str">
        <x:v>DQ500-TB0-TH500.csv</x:v>
      </x:c>
      <x:c r="B95" s="20" t="n">
        <x:v>2</x:v>
      </x:c>
      <x:c r="C95" s="20" t="str">
        <x:v>binary</x:v>
      </x:c>
      <x:c r="D95" s="20" t="str">
        <x:v>DQ</x:v>
      </x:c>
      <x:c r="E95" s="23" t="n">
        <x:v>500</x:v>
      </x:c>
      <x:c r="F95" s="23" t="n">
        <x:v>17.84347727643835</x:v>
      </x:c>
      <x:c r="G95" s="23" t="n">
        <x:v>604.1516376104138</x:v>
      </x:c>
      <x:c r="H95" s="23" t="n">
        <x:v>0.4401972545253421</x:v>
      </x:c>
      <x:c r="I95" s="23" t="n">
        <x:v>44.01972545253421</x:v>
      </x:c>
      <x:c r="J95" s="23" t="n">
        <x:v>44.01972545253421</x:v>
      </x:c>
      <x:c r="K95" s="23" t="n">
        <x:f>IF(E95&gt;0,J95/E95*100,"")</x:f>
        <x:v>8.803945090506842</x:v>
      </x:c>
      <x:c r="L95" s="23" t="n">
        <x:f>IF(E95&gt;0,ABS(J95-E95),"")</x:f>
        <x:v>455.9802745474658</x:v>
      </x:c>
      <x:c r="M95" s="23" t="n">
        <x:v>2.3703927993774414</x:v>
      </x:c>
      <x:c r="N95" s="20" t="n">
        <x:v>569</x:v>
      </x:c>
      <x:c r="O95" s="20" t="str">
        <x:v>no</x:v>
      </x:c>
    </x:row>
    <x:row r="96">
      <x:c r="A96" s="20" t="str">
        <x:v>DQ500-TB0-TH500.csv</x:v>
      </x:c>
      <x:c r="B96" s="20" t="n">
        <x:v>2</x:v>
      </x:c>
      <x:c r="C96" s="20" t="str">
        <x:v>binary</x:v>
      </x:c>
      <x:c r="D96" s="20" t="str">
        <x:v>TBZ</x:v>
      </x:c>
      <x:c r="E96" s="23" t="n">
        <x:v>0</x:v>
      </x:c>
      <x:c r="F96" s="23" t="n">
        <x:v>15.028997853264215</x:v>
      </x:c>
      <x:c r="G96" s="23" t="n">
        <x:v>249.5429580597204</x:v>
      </x:c>
      <x:c r="H96" s="23" t="n">
        <x:v>0.8935095820805015</x:v>
      </x:c>
      <x:c r="I96" s="23" t="n">
        <x:v>78.2074021350812</x:v>
      </x:c>
      <x:c r="J96" s="23" t="n">
        <x:v>89.35095820805014</x:v>
      </x:c>
      <x:c r="K96" s="23" t="str">
        <x:f>IF(E96&gt;0,J96/E96*100,"")</x:f>
      </x:c>
      <x:c r="L96" s="23" t="str">
        <x:f>IF(E96&gt;0,ABS(J96-E96),"")</x:f>
      </x:c>
      <x:c r="M96" s="23" t="n">
        <x:v>2.2743897438049316</x:v>
      </x:c>
      <x:c r="N96" s="20" t="n">
        <x:v>569</x:v>
      </x:c>
      <x:c r="O96" s="20" t="str">
        <x:v>no</x:v>
      </x:c>
    </x:row>
    <x:row r="97">
      <x:c r="A97" s="20" t="str">
        <x:v>DQ500-TB0-TH500.csv</x:v>
      </x:c>
      <x:c r="B97" s="20" t="n">
        <x:v>2</x:v>
      </x:c>
      <x:c r="C97" s="20" t="str">
        <x:v>binary</x:v>
      </x:c>
      <x:c r="D97" s="20" t="str">
        <x:v>THI</x:v>
      </x:c>
      <x:c r="E97" s="23" t="n">
        <x:v>500</x:v>
      </x:c>
      <x:c r="F97" s="23" t="n">
        <x:v>67.12752487019745</x:v>
      </x:c>
      <x:c r="G97" s="23" t="n">
        <x:v>13587.317602446903</x:v>
      </x:c>
      <x:c r="H97" s="23" t="n">
        <x:v>100</x:v>
      </x:c>
      <x:c r="I97" s="23" t="n">
        <x:v>240.95652145780647</x:v>
      </x:c>
      <x:c r="J97" s="23" t="n">
        <x:v>449.3682861328125</x:v>
      </x:c>
      <x:c r="K97" s="23" t="n">
        <x:f>IF(E97&gt;0,J97/E97*100,"")</x:f>
        <x:v>89.8736572265625</x:v>
      </x:c>
      <x:c r="L97" s="23" t="n">
        <x:f>IF(E97&gt;0,ABS(J97-E97),"")</x:f>
        <x:v>50.6317138671875</x:v>
      </x:c>
      <x:c r="M97" s="23" t="n">
        <x:v>0.6526024341583252</x:v>
      </x:c>
      <x:c r="N97" s="20" t="n">
        <x:v>569</x:v>
      </x:c>
      <x:c r="O97" s="20" t="str">
        <x:v>no</x:v>
      </x:c>
    </x:row>
    <x:row r="98">
      <x:c r="A98" s="20" t="str">
        <x:v>DQ6-TB12-TH24.csv</x:v>
      </x:c>
      <x:c r="B98" s="20" t="n">
        <x:v>2</x:v>
      </x:c>
      <x:c r="C98" s="20" t="str">
        <x:v>ternary</x:v>
      </x:c>
      <x:c r="D98" s="20" t="str">
        <x:v>DQ</x:v>
      </x:c>
      <x:c r="E98" s="23" t="n">
        <x:v>6</x:v>
      </x:c>
      <x:c r="F98" s="23" t="n">
        <x:v>22.311793384704178</x:v>
      </x:c>
      <x:c r="G98" s="23" t="n">
        <x:v>3178.9494261828154</x:v>
      </x:c>
      <x:c r="H98" s="23" t="n">
        <x:v>1.5859208840314734</x:v>
      </x:c>
      <x:c r="I98" s="23" t="n">
        <x:v>13.321057857675102</x:v>
      </x:c>
      <x:c r="J98" s="23" t="n">
        <x:v>8.792538454644909</x:v>
      </x:c>
      <x:c r="K98" s="23" t="n">
        <x:f>IF(E98&gt;0,J98/E98*100,"")</x:f>
        <x:v>146.54230757741516</x:v>
      </x:c>
      <x:c r="L98" s="23" t="n">
        <x:f>IF(E98&gt;0,ABS(J98-E98),"")</x:f>
        <x:v>2.792538454644909</x:v>
      </x:c>
      <x:c r="M98" s="23" t="n">
        <x:v>0.7438327670097351</x:v>
      </x:c>
      <x:c r="N98" s="20" t="n">
        <x:v>569</x:v>
      </x:c>
      <x:c r="O98" s="20" t="str">
        <x:v>yes</x:v>
      </x:c>
    </x:row>
    <x:row r="99">
      <x:c r="A99" s="20" t="str">
        <x:v>DQ6-TB12-TH24.csv</x:v>
      </x:c>
      <x:c r="B99" s="20" t="n">
        <x:v>2</x:v>
      </x:c>
      <x:c r="C99" s="20" t="str">
        <x:v>ternary</x:v>
      </x:c>
      <x:c r="D99" s="20" t="str">
        <x:v>TBZ</x:v>
      </x:c>
      <x:c r="E99" s="23" t="n">
        <x:v>12</x:v>
      </x:c>
      <x:c r="F99" s="23" t="n">
        <x:v>34.02589362724108</x:v>
      </x:c>
      <x:c r="G99" s="23" t="n">
        <x:v>1218.619827458107</x:v>
      </x:c>
      <x:c r="H99" s="23" t="n">
        <x:v>1.603852678919961</x:v>
      </x:c>
      <x:c r="I99" s="23" t="n">
        <x:v>25.75513591129134</x:v>
      </x:c>
      <x:c r="J99" s="23" t="n">
        <x:v>12.082453923500909</x:v>
      </x:c>
      <x:c r="K99" s="23" t="n">
        <x:f>IF(E99&gt;0,J99/E99*100,"")</x:f>
        <x:v>100.68711602917423</x:v>
      </x:c>
      <x:c r="L99" s="23" t="n">
        <x:f>IF(E99&gt;0,ABS(J99-E99),"")</x:f>
        <x:v>0.08245392350090874</x:v>
      </x:c>
      <x:c r="M99" s="23" t="n">
        <x:v>0.8769906759262085</x:v>
      </x:c>
      <x:c r="N99" s="20" t="n">
        <x:v>569</x:v>
      </x:c>
      <x:c r="O99" s="20" t="str">
        <x:v>yes</x:v>
      </x:c>
    </x:row>
    <x:row r="100">
      <x:c r="A100" s="20" t="str">
        <x:v>DQ6-TB12-TH24.csv</x:v>
      </x:c>
      <x:c r="B100" s="20" t="n">
        <x:v>2</x:v>
      </x:c>
      <x:c r="C100" s="20" t="str">
        <x:v>ternary</x:v>
      </x:c>
      <x:c r="D100" s="20" t="str">
        <x:v>THI</x:v>
      </x:c>
      <x:c r="E100" s="23" t="n">
        <x:v>24</x:v>
      </x:c>
      <x:c r="F100" s="23" t="n">
        <x:v>43.662312987954735</x:v>
      </x:c>
      <x:c r="G100" s="23" t="n">
        <x:v>10640.23790568731</x:v>
      </x:c>
      <x:c r="H100" s="23" t="n">
        <x:v>100</x:v>
      </x:c>
      <x:c r="I100" s="23" t="n">
        <x:v>47.57846653217626</x:v>
      </x:c>
      <x:c r="J100" s="23" t="n">
        <x:v>33.69503617286682</x:v>
      </x:c>
      <x:c r="K100" s="23" t="n">
        <x:f>IF(E100&gt;0,J100/E100*100,"")</x:f>
        <x:v>140.39598405361176</x:v>
      </x:c>
      <x:c r="L100" s="23" t="n">
        <x:f>IF(E100&gt;0,ABS(J100-E100),"")</x:f>
        <x:v>9.695036172866821</x:v>
      </x:c>
      <x:c r="M100" s="23" t="n">
        <x:v>-0.47243407368659973</x:v>
      </x:c>
      <x:c r="N100" s="20" t="n">
        <x:v>569</x:v>
      </x:c>
      <x:c r="O100" s="20" t="str">
        <x:v>yes</x:v>
      </x:c>
    </x:row>
    <x:row r="101">
      <x:c r="A101" s="20" t="str">
        <x:v>DQ6-TB12-TH3.csv</x:v>
      </x:c>
      <x:c r="B101" s="20" t="n">
        <x:v>2</x:v>
      </x:c>
      <x:c r="C101" s="20" t="str">
        <x:v>ternary</x:v>
      </x:c>
      <x:c r="D101" s="20" t="str">
        <x:v>DQ</x:v>
      </x:c>
      <x:c r="E101" s="23" t="n">
        <x:v>6</x:v>
      </x:c>
      <x:c r="F101" s="23" t="n">
        <x:v>43.77111160431371</x:v>
      </x:c>
      <x:c r="G101" s="23" t="n">
        <x:v>3547.4774477812034</x:v>
      </x:c>
      <x:c r="H101" s="23" t="n">
        <x:v>1.905249986624009</x:v>
      </x:c>
      <x:c r="I101" s="23" t="n">
        <x:v>8.760740011342588</x:v>
      </x:c>
      <x:c r="J101" s="23" t="n">
        <x:v>5.810473177171185</x:v>
      </x:c>
      <x:c r="K101" s="23" t="n">
        <x:f>IF(E101&gt;0,J101/E101*100,"")</x:f>
        <x:v>96.84121961951976</x:v>
      </x:c>
      <x:c r="L101" s="23" t="n">
        <x:f>IF(E101&gt;0,ABS(J101-E101),"")</x:f>
        <x:v>0.18952682282881472</x:v>
      </x:c>
      <x:c r="M101" s="23" t="n">
        <x:v>0.48425954580307007</x:v>
      </x:c>
      <x:c r="N101" s="20" t="n">
        <x:v>569</x:v>
      </x:c>
      <x:c r="O101" s="20" t="str">
        <x:v>yes</x:v>
      </x:c>
    </x:row>
    <x:row r="102">
      <x:c r="A102" s="20" t="str">
        <x:v>DQ6-TB12-TH3.csv</x:v>
      </x:c>
      <x:c r="B102" s="20" t="n">
        <x:v>2</x:v>
      </x:c>
      <x:c r="C102" s="20" t="str">
        <x:v>ternary</x:v>
      </x:c>
      <x:c r="D102" s="20" t="str">
        <x:v>TBZ</x:v>
      </x:c>
      <x:c r="E102" s="23" t="n">
        <x:v>12</x:v>
      </x:c>
      <x:c r="F102" s="23" t="n">
        <x:v>31.357529732545924</x:v>
      </x:c>
      <x:c r="G102" s="23" t="n">
        <x:v>1445.8218828684503</x:v>
      </x:c>
      <x:c r="H102" s="23" t="n">
        <x:v>1.8396304689458383</x:v>
      </x:c>
      <x:c r="I102" s="23" t="n">
        <x:v>7.3664671927594325</x:v>
      </x:c>
      <x:c r="J102" s="23" t="n">
        <x:v>4.450090062580136</x:v>
      </x:c>
      <x:c r="K102" s="23" t="n">
        <x:f>IF(E102&gt;0,J102/E102*100,"")</x:f>
        <x:v>37.08408385483447</x:v>
      </x:c>
      <x:c r="L102" s="23" t="n">
        <x:f>IF(E102&gt;0,ABS(J102-E102),"")</x:f>
        <x:v>7.549909937419864</x:v>
      </x:c>
      <x:c r="M102" s="23" t="n">
        <x:v>0.3836382031440735</x:v>
      </x:c>
      <x:c r="N102" s="20" t="n">
        <x:v>569</x:v>
      </x:c>
      <x:c r="O102" s="20" t="str">
        <x:v>yes</x:v>
      </x:c>
    </x:row>
    <x:row r="103">
      <x:c r="A103" s="20" t="str">
        <x:v>DQ6-TB12-TH3.csv</x:v>
      </x:c>
      <x:c r="B103" s="20" t="n">
        <x:v>2</x:v>
      </x:c>
      <x:c r="C103" s="20" t="str">
        <x:v>ternary</x:v>
      </x:c>
      <x:c r="D103" s="20" t="str">
        <x:v>THI</x:v>
      </x:c>
      <x:c r="E103" s="23" t="n">
        <x:v>3</x:v>
      </x:c>
      <x:c r="F103" s="23" t="n">
        <x:v>24.871358663040358</x:v>
      </x:c>
      <x:c r="G103" s="23" t="n">
        <x:v>1716.8355015814404</x:v>
      </x:c>
      <x:c r="H103" s="23" t="n">
        <x:v>1.4943426601266383</x:v>
      </x:c>
      <x:c r="I103" s="23" t="n">
        <x:v>3.2135075360266545</x:v>
      </x:c>
      <x:c r="J103" s="23" t="n">
        <x:v>3.824449712372281</x:v>
      </x:c>
      <x:c r="K103" s="23" t="n">
        <x:f>IF(E103&gt;0,J103/E103*100,"")</x:f>
        <x:v>127.48165707907604</x:v>
      </x:c>
      <x:c r="L103" s="23" t="n">
        <x:f>IF(E103&gt;0,ABS(J103-E103),"")</x:f>
        <x:v>0.8244497123722812</x:v>
      </x:c>
      <x:c r="M103" s="23" t="n">
        <x:v>0.40811875462532043</x:v>
      </x:c>
      <x:c r="N103" s="20" t="n">
        <x:v>569</x:v>
      </x:c>
      <x:c r="O103" s="20" t="str">
        <x:v>yes</x:v>
      </x:c>
    </x:row>
    <x:row r="104">
      <x:c r="A104" s="20" t="str">
        <x:v>DQ6-TB12-TH6.csv</x:v>
      </x:c>
      <x:c r="B104" s="20" t="n">
        <x:v>2</x:v>
      </x:c>
      <x:c r="C104" s="20" t="str">
        <x:v>ternary</x:v>
      </x:c>
      <x:c r="D104" s="20" t="str">
        <x:v>DQ</x:v>
      </x:c>
      <x:c r="E104" s="23" t="n">
        <x:v>6</x:v>
      </x:c>
      <x:c r="F104" s="23" t="n">
        <x:v>35.19629702364243</x:v>
      </x:c>
      <x:c r="G104" s="23" t="n">
        <x:v>3505.9290776123735</x:v>
      </x:c>
      <x:c r="H104" s="23" t="n">
        <x:v>1.8662499460485285</x:v>
      </x:c>
      <x:c r="I104" s="23" t="n">
        <x:v>7.0375561488996015</x:v>
      </x:c>
      <x:c r="J104" s="23" t="n">
        <x:v>4.037339558710921</x:v>
      </x:c>
      <x:c r="K104" s="23" t="n">
        <x:f>IF(E104&gt;0,J104/E104*100,"")</x:f>
        <x:v>67.28899264518202</x:v>
      </x:c>
      <x:c r="L104" s="23" t="n">
        <x:f>IF(E104&gt;0,ABS(J104-E104),"")</x:f>
        <x:v>1.9626604412890787</x:v>
      </x:c>
      <x:c r="M104" s="23" t="n">
        <x:v>0.33512547612190247</x:v>
      </x:c>
      <x:c r="N104" s="20" t="n">
        <x:v>569</x:v>
      </x:c>
      <x:c r="O104" s="20" t="str">
        <x:v>yes</x:v>
      </x:c>
    </x:row>
    <x:row r="105">
      <x:c r="A105" s="20" t="str">
        <x:v>DQ6-TB12-TH6.csv</x:v>
      </x:c>
      <x:c r="B105" s="20" t="n">
        <x:v>2</x:v>
      </x:c>
      <x:c r="C105" s="20" t="str">
        <x:v>ternary</x:v>
      </x:c>
      <x:c r="D105" s="20" t="str">
        <x:v>TBZ</x:v>
      </x:c>
      <x:c r="E105" s="23" t="n">
        <x:v>12</x:v>
      </x:c>
      <x:c r="F105" s="23" t="n">
        <x:v>36.97098186782085</x:v>
      </x:c>
      <x:c r="G105" s="23" t="n">
        <x:v>1228.9045379822023</x:v>
      </x:c>
      <x:c r="H105" s="23" t="n">
        <x:v>1.613841360601767</x:v>
      </x:c>
      <x:c r="I105" s="23" t="n">
        <x:v>7.41003100983956</x:v>
      </x:c>
      <x:c r="J105" s="23" t="n">
        <x:v>3.7548511577460815</x:v>
      </x:c>
      <x:c r="K105" s="23" t="n">
        <x:f>IF(E105&gt;0,J105/E105*100,"")</x:f>
        <x:v>31.29042631455068</x:v>
      </x:c>
      <x:c r="L105" s="23" t="n">
        <x:f>IF(E105&gt;0,ABS(J105-E105),"")</x:f>
        <x:v>8.245148842253919</x:v>
      </x:c>
      <x:c r="M105" s="23" t="n">
        <x:v>0.3667318820953369</x:v>
      </x:c>
      <x:c r="N105" s="20" t="n">
        <x:v>569</x:v>
      </x:c>
      <x:c r="O105" s="20" t="str">
        <x:v>yes</x:v>
      </x:c>
    </x:row>
    <x:row r="106">
      <x:c r="A106" s="20" t="str">
        <x:v>DQ6-TB12-TH6.csv</x:v>
      </x:c>
      <x:c r="B106" s="20" t="n">
        <x:v>2</x:v>
      </x:c>
      <x:c r="C106" s="20" t="str">
        <x:v>ternary</x:v>
      </x:c>
      <x:c r="D106" s="20" t="str">
        <x:v>THI</x:v>
      </x:c>
      <x:c r="E106" s="23" t="n">
        <x:v>6</x:v>
      </x:c>
      <x:c r="F106" s="23" t="n">
        <x:v>27.832721108436726</x:v>
      </x:c>
      <x:c r="G106" s="23" t="n">
        <x:v>1756.5919700599445</x:v>
      </x:c>
      <x:c r="H106" s="23" t="n">
        <x:v>1.5245708299808585</x:v>
      </x:c>
      <x:c r="I106" s="23" t="n">
        <x:v>3.5220750854041887</x:v>
      </x:c>
      <x:c r="J106" s="23" t="n">
        <x:v>3.7923011680240997</x:v>
      </x:c>
      <x:c r="K106" s="23" t="n">
        <x:f>IF(E106&gt;0,J106/E106*100,"")</x:f>
        <x:v>63.205019467068325</x:v>
      </x:c>
      <x:c r="L106" s="23" t="n">
        <x:f>IF(E106&gt;0,ABS(J106-E106),"")</x:f>
        <x:v>2.2076988319759003</x:v>
      </x:c>
      <x:c r="M106" s="23" t="n">
        <x:v>0.39575523138046265</x:v>
      </x:c>
      <x:c r="N106" s="20" t="n">
        <x:v>569</x:v>
      </x:c>
      <x:c r="O106" s="20" t="str">
        <x:v>yes</x:v>
      </x:c>
    </x:row>
    <x:row r="107">
      <x:c r="A107" s="20" t="str">
        <x:v>DQ6-TB3-TH12.csv</x:v>
      </x:c>
      <x:c r="B107" s="20" t="n">
        <x:v>2</x:v>
      </x:c>
      <x:c r="C107" s="20" t="str">
        <x:v>ternary</x:v>
      </x:c>
      <x:c r="D107" s="20" t="str">
        <x:v>DQ</x:v>
      </x:c>
      <x:c r="E107" s="23" t="n">
        <x:v>6</x:v>
      </x:c>
      <x:c r="F107" s="23" t="n">
        <x:v>29.538223624962207</x:v>
      </x:c>
      <x:c r="G107" s="23" t="n">
        <x:v>3453.8689751859442</x:v>
      </x:c>
      <x:c r="H107" s="23" t="n">
        <x:v>1.818507782595865</x:v>
      </x:c>
      <x:c r="I107" s="23" t="n">
        <x:v>7.378931020703783</x:v>
      </x:c>
      <x:c r="J107" s="23" t="n">
        <x:v>4.751843060855655</x:v>
      </x:c>
      <x:c r="K107" s="23" t="n">
        <x:f>IF(E107&gt;0,J107/E107*100,"")</x:f>
        <x:v>79.19738434759425</x:v>
      </x:c>
      <x:c r="L107" s="23" t="n">
        <x:f>IF(E107&gt;0,ABS(J107-E107),"")</x:f>
        <x:v>1.2481569391443452</x:v>
      </x:c>
      <x:c r="M107" s="23" t="n">
        <x:v>0.4171469211578369</x:v>
      </x:c>
      <x:c r="N107" s="20" t="n">
        <x:v>569</x:v>
      </x:c>
      <x:c r="O107" s="20" t="str">
        <x:v>yes</x:v>
      </x:c>
    </x:row>
    <x:row r="108">
      <x:c r="A108" s="20" t="str">
        <x:v>DQ6-TB3-TH12.csv</x:v>
      </x:c>
      <x:c r="B108" s="20" t="n">
        <x:v>2</x:v>
      </x:c>
      <x:c r="C108" s="20" t="str">
        <x:v>ternary</x:v>
      </x:c>
      <x:c r="D108" s="20" t="str">
        <x:v>TBZ</x:v>
      </x:c>
      <x:c r="E108" s="23" t="n">
        <x:v>3</x:v>
      </x:c>
      <x:c r="F108" s="23" t="n">
        <x:v>27.98406183704467</x:v>
      </x:c>
      <x:c r="G108" s="23" t="n">
        <x:v>582.9753774226111</x:v>
      </x:c>
      <x:c r="H108" s="23" t="n">
        <x:v>1.092737908147346</x:v>
      </x:c>
      <x:c r="I108" s="23" t="n">
        <x:v>7.26749366162124</x:v>
      </x:c>
      <x:c r="J108" s="23" t="n">
        <x:v>4.003390257749174</x:v>
      </x:c>
      <x:c r="K108" s="23" t="n">
        <x:f>IF(E108&gt;0,J108/E108*100,"")</x:f>
        <x:v>133.44634192497244</x:v>
      </x:c>
      <x:c r="L108" s="23" t="n">
        <x:f>IF(E108&gt;0,ABS(J108-E108),"")</x:f>
        <x:v>1.0033902577491736</x:v>
      </x:c>
      <x:c r="M108" s="23" t="n">
        <x:v>0.5639119148254395</x:v>
      </x:c>
      <x:c r="N108" s="20" t="n">
        <x:v>569</x:v>
      </x:c>
      <x:c r="O108" s="20" t="str">
        <x:v>yes</x:v>
      </x:c>
    </x:row>
    <x:row r="109">
      <x:c r="A109" s="20" t="str">
        <x:v>DQ6-TB3-TH12.csv</x:v>
      </x:c>
      <x:c r="B109" s="20" t="n">
        <x:v>2</x:v>
      </x:c>
      <x:c r="C109" s="20" t="str">
        <x:v>ternary</x:v>
      </x:c>
      <x:c r="D109" s="20" t="str">
        <x:v>THI</x:v>
      </x:c>
      <x:c r="E109" s="23" t="n">
        <x:v>12</x:v>
      </x:c>
      <x:c r="F109" s="23" t="n">
        <x:v>42.47771453789312</x:v>
      </x:c>
      <x:c r="G109" s="23" t="n">
        <x:v>5138.785811792096</x:v>
      </x:c>
      <x:c r="H109" s="23" t="n">
        <x:v>8.376463140481267</x:v>
      </x:c>
      <x:c r="I109" s="23" t="n">
        <x:v>11.731455657981977</x:v>
      </x:c>
      <x:c r="J109" s="23" t="n">
        <x:v>9.351924838872797</x:v>
      </x:c>
      <x:c r="K109" s="23" t="n">
        <x:f>IF(E109&gt;0,J109/E109*100,"")</x:f>
        <x:v>77.93270699060665</x:v>
      </x:c>
      <x:c r="L109" s="23" t="n">
        <x:f>IF(E109&gt;0,ABS(J109-E109),"")</x:f>
        <x:v>2.6480751611272026</x:v>
      </x:c>
      <x:c r="M109" s="23" t="n">
        <x:v>0.04784031957387924</x:v>
      </x:c>
      <x:c r="N109" s="20" t="n">
        <x:v>569</x:v>
      </x:c>
      <x:c r="O109" s="20" t="str">
        <x:v>yes</x:v>
      </x:c>
    </x:row>
    <x:row r="110">
      <x:c r="A110" s="20" t="str">
        <x:v>DQ6-TB6-TH24.csv</x:v>
      </x:c>
      <x:c r="B110" s="20" t="n">
        <x:v>2</x:v>
      </x:c>
      <x:c r="C110" s="20" t="str">
        <x:v>ternary</x:v>
      </x:c>
      <x:c r="D110" s="20" t="str">
        <x:v>DQ</x:v>
      </x:c>
      <x:c r="E110" s="23" t="n">
        <x:v>6</x:v>
      </x:c>
      <x:c r="F110" s="23" t="n">
        <x:v>15.00500441530774</x:v>
      </x:c>
      <x:c r="G110" s="23" t="n">
        <x:v>4273.012950164503</x:v>
      </x:c>
      <x:c r="H110" s="23" t="n">
        <x:v>2.7340237983618243</x:v>
      </x:c>
      <x:c r="I110" s="23" t="n">
        <x:v>13.22672673678094</x:v>
      </x:c>
      <x:c r="J110" s="23" t="n">
        <x:v>4.770854919205459</x:v>
      </x:c>
      <x:c r="K110" s="23" t="n">
        <x:f>IF(E110&gt;0,J110/E110*100,"")</x:f>
        <x:v>79.51424865342432</x:v>
      </x:c>
      <x:c r="L110" s="23" t="n">
        <x:f>IF(E110&gt;0,ABS(J110-E110),"")</x:f>
        <x:v>1.2291450807945408</x:v>
      </x:c>
      <x:c r="M110" s="23" t="n">
        <x:v>0.2417939305305481</x:v>
      </x:c>
      <x:c r="N110" s="20" t="n">
        <x:v>569</x:v>
      </x:c>
      <x:c r="O110" s="20" t="str">
        <x:v>yes</x:v>
      </x:c>
    </x:row>
    <x:row r="111">
      <x:c r="A111" s="20" t="str">
        <x:v>DQ6-TB6-TH24.csv</x:v>
      </x:c>
      <x:c r="B111" s="20" t="n">
        <x:v>2</x:v>
      </x:c>
      <x:c r="C111" s="20" t="str">
        <x:v>ternary</x:v>
      </x:c>
      <x:c r="D111" s="20" t="str">
        <x:v>TBZ</x:v>
      </x:c>
      <x:c r="E111" s="23" t="n">
        <x:v>6</x:v>
      </x:c>
      <x:c r="F111" s="23" t="n">
        <x:v>25.38959516165446</x:v>
      </x:c>
      <x:c r="G111" s="23" t="n">
        <x:v>555.8279123982293</x:v>
      </x:c>
      <x:c r="H111" s="23" t="n">
        <x:v>1.0749758111032146</x:v>
      </x:c>
      <x:c r="I111" s="23" t="n">
        <x:v>15.413910008631955</x:v>
      </x:c>
      <x:c r="J111" s="23" t="n">
        <x:v>6.974602899806298</x:v>
      </x:c>
      <x:c r="K111" s="23" t="n">
        <x:f>IF(E111&gt;0,J111/E111*100,"")</x:f>
        <x:v>116.2433816634383</x:v>
      </x:c>
      <x:c r="L111" s="23" t="n">
        <x:f>IF(E111&gt;0,ABS(J111-E111),"")</x:f>
        <x:v>0.9746028998062979</x:v>
      </x:c>
      <x:c r="M111" s="23" t="n">
        <x:v>0.812120795249939</x:v>
      </x:c>
      <x:c r="N111" s="20" t="n">
        <x:v>569</x:v>
      </x:c>
      <x:c r="O111" s="20" t="str">
        <x:v>yes</x:v>
      </x:c>
    </x:row>
    <x:row r="112">
      <x:c r="A112" s="20" t="str">
        <x:v>DQ6-TB6-TH24.csv</x:v>
      </x:c>
      <x:c r="B112" s="20" t="n">
        <x:v>2</x:v>
      </x:c>
      <x:c r="C112" s="20" t="str">
        <x:v>ternary</x:v>
      </x:c>
      <x:c r="D112" s="20" t="str">
        <x:v>THI</x:v>
      </x:c>
      <x:c r="E112" s="23" t="n">
        <x:v>24</x:v>
      </x:c>
      <x:c r="F112" s="23" t="n">
        <x:v>59.60540042293779</x:v>
      </x:c>
      <x:c r="G112" s="23" t="n">
        <x:v>10669.96756083156</x:v>
      </x:c>
      <x:c r="H112" s="23" t="n">
        <x:v>100</x:v>
      </x:c>
      <x:c r="I112" s="23" t="n">
        <x:v>49.42249314885148</x:v>
      </x:c>
      <x:c r="J112" s="23" t="n">
        <x:v>36.206409335136414</x:v>
      </x:c>
      <x:c r="K112" s="23" t="n">
        <x:f>IF(E112&gt;0,J112/E112*100,"")</x:f>
        <x:v>150.8600388964017</x:v>
      </x:c>
      <x:c r="L112" s="23" t="n">
        <x:f>IF(E112&gt;0,ABS(J112-E112),"")</x:f>
        <x:v>12.206409335136414</x:v>
      </x:c>
      <x:c r="M112" s="23" t="n">
        <x:v>-0.44121453166007996</x:v>
      </x:c>
      <x:c r="N112" s="20" t="n">
        <x:v>569</x:v>
      </x:c>
      <x:c r="O112" s="20" t="str">
        <x:v>yes</x:v>
      </x:c>
    </x:row>
    <x:row r="113">
      <x:c r="A113" s="20" t="str">
        <x:v>DQ0-TB500-TH500.csv</x:v>
      </x:c>
      <x:c r="B113" s="20" t="n">
        <x:v>3</x:v>
      </x:c>
      <x:c r="C113" s="20" t="str">
        <x:v>binary</x:v>
      </x:c>
      <x:c r="D113" s="20" t="str">
        <x:v>DQ</x:v>
      </x:c>
      <x:c r="E113" s="23" t="n">
        <x:v>0</x:v>
      </x:c>
      <x:c r="F113" s="23" t="n">
        <x:v>8.567261233783514</x:v>
      </x:c>
      <x:c r="G113" s="23" t="n">
        <x:v>1049.8432792960102</x:v>
      </x:c>
      <x:c r="H113" s="23" t="n">
        <x:v>0.5495401674366128</x:v>
      </x:c>
      <x:c r="I113" s="23" t="n">
        <x:v>13.06256275711321</x:v>
      </x:c>
      <x:c r="J113" s="23" t="n">
        <x:v>24.768091724397276</x:v>
      </x:c>
      <x:c r="K113" s="23" t="str">
        <x:f>IF(E113&gt;0,J113/E113*100,"")</x:f>
      </x:c>
      <x:c r="L113" s="23" t="str">
        <x:f>IF(E113&gt;0,ABS(J113-E113),"")</x:f>
      </x:c>
      <x:c r="M113" s="23" t="n">
        <x:v>1.6538931131362915</x:v>
      </x:c>
      <x:c r="N113" s="20" t="n">
        <x:v>86</x:v>
      </x:c>
      <x:c r="O113" s="20" t="str">
        <x:v>no</x:v>
      </x:c>
    </x:row>
    <x:row r="114">
      <x:c r="A114" s="20" t="str">
        <x:v>DQ0-TB500-TH500.csv</x:v>
      </x:c>
      <x:c r="B114" s="20" t="n">
        <x:v>3</x:v>
      </x:c>
      <x:c r="C114" s="20" t="str">
        <x:v>binary</x:v>
      </x:c>
      <x:c r="D114" s="20" t="str">
        <x:v>TBZ</x:v>
      </x:c>
      <x:c r="E114" s="23" t="n">
        <x:v>500</x:v>
      </x:c>
      <x:c r="F114" s="23" t="n">
        <x:v>17.024735614845724</x:v>
      </x:c>
      <x:c r="G114" s="23" t="n">
        <x:v>1158.2373168075449</x:v>
      </x:c>
      <x:c r="H114" s="23" t="n">
        <x:v>1.5464427361378177</x:v>
      </x:c>
      <x:c r="I114" s="23" t="n">
        <x:v>26.40867821302556</x:v>
      </x:c>
      <x:c r="J114" s="23" t="n">
        <x:v>46.47806554285864</x:v>
      </x:c>
      <x:c r="K114" s="23" t="n">
        <x:f>IF(E114&gt;0,J114/E114*100,"")</x:f>
        <x:v>9.295613108571727</x:v>
      </x:c>
      <x:c r="L114" s="23" t="n">
        <x:f>IF(E114&gt;0,ABS(J114-E114),"")</x:f>
        <x:v>453.52193445714136</x:v>
      </x:c>
      <x:c r="M114" s="23" t="n">
        <x:v>1.4779142141342163</x:v>
      </x:c>
      <x:c r="N114" s="20" t="n">
        <x:v>86</x:v>
      </x:c>
      <x:c r="O114" s="20" t="str">
        <x:v>no</x:v>
      </x:c>
    </x:row>
    <x:row r="115">
      <x:c r="A115" s="20" t="str">
        <x:v>DQ0-TB500-TH500.csv</x:v>
      </x:c>
      <x:c r="B115" s="20" t="n">
        <x:v>3</x:v>
      </x:c>
      <x:c r="C115" s="20" t="str">
        <x:v>binary</x:v>
      </x:c>
      <x:c r="D115" s="20" t="str">
        <x:v>THI</x:v>
      </x:c>
      <x:c r="E115" s="23" t="n">
        <x:v>500</x:v>
      </x:c>
      <x:c r="F115" s="23" t="n">
        <x:v>74.40800315127076</x:v>
      </x:c>
      <x:c r="G115" s="23" t="n">
        <x:v>10821.82879492791</x:v>
      </x:c>
      <x:c r="H115" s="23" t="n">
        <x:v>100</x:v>
      </x:c>
      <x:c r="I115" s="23" t="n">
        <x:v>106.8773930223822</x:v>
      </x:c>
      <x:c r="J115" s="23" t="n">
        <x:v>162.01374530792236</x:v>
      </x:c>
      <x:c r="K115" s="23" t="n">
        <x:f>IF(E115&gt;0,J115/E115*100,"")</x:f>
        <x:v>32.40274906158447</x:v>
      </x:c>
      <x:c r="L115" s="23" t="n">
        <x:f>IF(E115&gt;0,ABS(J115-E115),"")</x:f>
        <x:v>337.98625469207764</x:v>
      </x:c>
      <x:c r="M115" s="23" t="n">
        <x:v>0.2095518708229065</x:v>
      </x:c>
      <x:c r="N115" s="20" t="n">
        <x:v>86</x:v>
      </x:c>
      <x:c r="O115" s="20" t="str">
        <x:v>no</x:v>
      </x:c>
    </x:row>
    <x:row r="116">
      <x:c r="A116" s="20" t="str">
        <x:v>DQ12-TB3-TH12.csv</x:v>
      </x:c>
      <x:c r="B116" s="20" t="n">
        <x:v>3</x:v>
      </x:c>
      <x:c r="C116" s="20" t="str">
        <x:v>ternary</x:v>
      </x:c>
      <x:c r="D116" s="20" t="str">
        <x:v>DQ</x:v>
      </x:c>
      <x:c r="E116" s="23" t="n">
        <x:v>12</x:v>
      </x:c>
      <x:c r="F116" s="23" t="n">
        <x:v>29.976874984228925</x:v>
      </x:c>
      <x:c r="G116" s="23" t="n">
        <x:v>2627.6696130337805</x:v>
      </x:c>
      <x:c r="H116" s="23" t="n">
        <x:v>1.2053211143128364</x:v>
      </x:c>
      <x:c r="I116" s="23" t="n">
        <x:v>7.615270807059076</x:v>
      </x:c>
      <x:c r="J116" s="23" t="n">
        <x:v>6.60558331420054</x:v>
      </x:c>
      <x:c r="K116" s="23" t="n">
        <x:f>IF(E116&gt;0,J116/E116*100,"")</x:f>
        <x:v>55.04652761833783</x:v>
      </x:c>
      <x:c r="L116" s="23" t="n">
        <x:f>IF(E116&gt;0,ABS(J116-E116),"")</x:f>
        <x:v>5.39441668579946</x:v>
      </x:c>
      <x:c r="M116" s="23" t="n">
        <x:v>0.7388083934783936</x:v>
      </x:c>
      <x:c r="N116" s="20" t="n">
        <x:v>86</x:v>
      </x:c>
      <x:c r="O116" s="20" t="str">
        <x:v>yes</x:v>
      </x:c>
    </x:row>
    <x:row r="117">
      <x:c r="A117" s="20" t="str">
        <x:v>DQ12-TB3-TH12.csv</x:v>
      </x:c>
      <x:c r="B117" s="20" t="n">
        <x:v>3</x:v>
      </x:c>
      <x:c r="C117" s="20" t="str">
        <x:v>ternary</x:v>
      </x:c>
      <x:c r="D117" s="20" t="str">
        <x:v>TBZ</x:v>
      </x:c>
      <x:c r="E117" s="23" t="n">
        <x:v>3</x:v>
      </x:c>
      <x:c r="F117" s="23" t="n">
        <x:v>25.450140616535666</x:v>
      </x:c>
      <x:c r="G117" s="23" t="n">
        <x:v>589.6625874609354</x:v>
      </x:c>
      <x:c r="H117" s="23" t="n">
        <x:v>1.0971580948645245</x:v>
      </x:c>
      <x:c r="I117" s="23" t="n">
        <x:v>8.265008036178491</x:v>
      </x:c>
      <x:c r="J117" s="23" t="n">
        <x:v>4.751532578585255</x:v>
      </x:c>
      <x:c r="K117" s="23" t="n">
        <x:f>IF(E117&gt;0,J117/E117*100,"")</x:f>
        <x:v>158.38441928617516</x:v>
      </x:c>
      <x:c r="L117" s="23" t="n">
        <x:f>IF(E117&gt;0,ABS(J117-E117),"")</x:f>
        <x:v>1.7515325785852554</x:v>
      </x:c>
      <x:c r="M117" s="23" t="n">
        <x:v>0.6365644931793213</x:v>
      </x:c>
      <x:c r="N117" s="20" t="n">
        <x:v>86</x:v>
      </x:c>
      <x:c r="O117" s="20" t="str">
        <x:v>yes</x:v>
      </x:c>
    </x:row>
    <x:row r="118">
      <x:c r="A118" s="20" t="str">
        <x:v>DQ12-TB3-TH12.csv</x:v>
      </x:c>
      <x:c r="B118" s="20" t="n">
        <x:v>3</x:v>
      </x:c>
      <x:c r="C118" s="20" t="str">
        <x:v>ternary</x:v>
      </x:c>
      <x:c r="D118" s="20" t="str">
        <x:v>THI</x:v>
      </x:c>
      <x:c r="E118" s="23" t="n">
        <x:v>12</x:v>
      </x:c>
      <x:c r="F118" s="23" t="n">
        <x:v>44.57298439913541</x:v>
      </x:c>
      <x:c r="G118" s="23" t="n">
        <x:v>4948.429591417365</x:v>
      </x:c>
      <x:c r="H118" s="23" t="n">
        <x:v>7.610566489202069</x:v>
      </x:c>
      <x:c r="I118" s="23" t="n">
        <x:v>12.869573866961439</x:v>
      </x:c>
      <x:c r="J118" s="23" t="n">
        <x:v>17.388853156727546</x:v>
      </x:c>
      <x:c r="K118" s="23" t="n">
        <x:f>IF(E118&gt;0,J118/E118*100,"")</x:f>
        <x:v>144.90710963939623</x:v>
      </x:c>
      <x:c r="L118" s="23" t="n">
        <x:f>IF(E118&gt;0,ABS(J118-E118),"")</x:f>
        <x:v>5.388853156727546</x:v>
      </x:c>
      <x:c r="M118" s="23" t="n">
        <x:v>0.35885393619537354</x:v>
      </x:c>
      <x:c r="N118" s="20" t="n">
        <x:v>86</x:v>
      </x:c>
      <x:c r="O118" s="20" t="str">
        <x:v>yes</x:v>
      </x:c>
    </x:row>
    <x:row r="119">
      <x:c r="A119" s="20" t="str">
        <x:v>DQ12-TB3-TH24.csv</x:v>
      </x:c>
      <x:c r="B119" s="20" t="n">
        <x:v>3</x:v>
      </x:c>
      <x:c r="C119" s="20" t="str">
        <x:v>ternary</x:v>
      </x:c>
      <x:c r="D119" s="20" t="str">
        <x:v>DQ</x:v>
      </x:c>
      <x:c r="E119" s="23" t="n">
        <x:v>12</x:v>
      </x:c>
      <x:c r="F119" s="23" t="n">
        <x:v>24.754607894929357</x:v>
      </x:c>
      <x:c r="G119" s="23" t="n">
        <x:v>1590.3021473005326</x:v>
      </x:c>
      <x:c r="H119" s="23" t="n">
        <x:v>0.7191820891206119</x:v>
      </x:c>
      <x:c r="I119" s="23" t="n">
        <x:v>8.82070482466124</x:v>
      </x:c>
      <x:c r="J119" s="23" t="n">
        <x:v>9.9366717176726</x:v>
      </x:c>
      <x:c r="K119" s="23" t="n">
        <x:f>IF(E119&gt;0,J119/E119*100,"")</x:f>
        <x:v>82.80559764727165</x:v>
      </x:c>
      <x:c r="L119" s="23" t="n">
        <x:f>IF(E119&gt;0,ABS(J119-E119),"")</x:f>
        <x:v>2.063328282327401</x:v>
      </x:c>
      <x:c r="M119" s="23" t="n">
        <x:v>1.14040207862854</x:v>
      </x:c>
      <x:c r="N119" s="20" t="n">
        <x:v>86</x:v>
      </x:c>
      <x:c r="O119" s="20" t="str">
        <x:v>yes</x:v>
      </x:c>
    </x:row>
    <x:row r="120">
      <x:c r="A120" s="20" t="str">
        <x:v>DQ12-TB3-TH24.csv</x:v>
      </x:c>
      <x:c r="B120" s="20" t="n">
        <x:v>3</x:v>
      </x:c>
      <x:c r="C120" s="20" t="str">
        <x:v>ternary</x:v>
      </x:c>
      <x:c r="D120" s="20" t="str">
        <x:v>TBZ</x:v>
      </x:c>
      <x:c r="E120" s="23" t="n">
        <x:v>3</x:v>
      </x:c>
      <x:c r="F120" s="23" t="n">
        <x:v>19.58034764962389</x:v>
      </x:c>
      <x:c r="G120" s="23" t="n">
        <x:v>420.1279168200594</x:v>
      </x:c>
      <x:c r="H120" s="23" t="n">
        <x:v>0.9904256776705195</x:v>
      </x:c>
      <x:c r="I120" s="23" t="n">
        <x:v>9.79737715911654</x:v>
      </x:c>
      <x:c r="J120" s="23" t="n">
        <x:v>6.875028219886304</x:v>
      </x:c>
      <x:c r="K120" s="23" t="n">
        <x:f>IF(E120&gt;0,J120/E120*100,"")</x:f>
        <x:v>229.1676073295435</x:v>
      </x:c>
      <x:c r="L120" s="23" t="n">
        <x:f>IF(E120&gt;0,ABS(J120-E120),"")</x:f>
        <x:v>3.875028219886304</x:v>
      </x:c>
      <x:c r="M120" s="23" t="n">
        <x:v>0.8414525985717773</x:v>
      </x:c>
      <x:c r="N120" s="20" t="n">
        <x:v>86</x:v>
      </x:c>
      <x:c r="O120" s="20" t="str">
        <x:v>yes</x:v>
      </x:c>
    </x:row>
    <x:row r="121">
      <x:c r="A121" s="20" t="str">
        <x:v>DQ12-TB3-TH24.csv</x:v>
      </x:c>
      <x:c r="B121" s="20" t="n">
        <x:v>3</x:v>
      </x:c>
      <x:c r="C121" s="20" t="str">
        <x:v>ternary</x:v>
      </x:c>
      <x:c r="D121" s="20" t="str">
        <x:v>THI</x:v>
      </x:c>
      <x:c r="E121" s="23" t="n">
        <x:v>24</x:v>
      </x:c>
      <x:c r="F121" s="23" t="n">
        <x:v>55.66504445534676</x:v>
      </x:c>
      <x:c r="G121" s="23" t="n">
        <x:v>4320.276790397415</x:v>
      </x:c>
      <x:c r="H121" s="23" t="n">
        <x:v>5.546228461993414</x:v>
      </x:c>
      <x:c r="I121" s="23" t="n">
        <x:v>17.353395495958146</x:v>
      </x:c>
      <x:c r="J121" s="23" t="n">
        <x:v>25.08017378311848</x:v>
      </x:c>
      <x:c r="K121" s="23" t="n">
        <x:f>IF(E121&gt;0,J121/E121*100,"")</x:f>
        <x:v>104.500724096327</x:v>
      </x:c>
      <x:c r="L121" s="23" t="n">
        <x:f>IF(E121&gt;0,ABS(J121-E121),"")</x:f>
        <x:v>1.0801737831184788</x:v>
      </x:c>
      <x:c r="M121" s="23" t="n">
        <x:v>0.6553328037261963</x:v>
      </x:c>
      <x:c r="N121" s="20" t="n">
        <x:v>86</x:v>
      </x:c>
      <x:c r="O121" s="20" t="str">
        <x:v>yes</x:v>
      </x:c>
    </x:row>
    <x:row r="122">
      <x:c r="A122" s="20" t="str">
        <x:v>DQ12-TB3-TH6.csv</x:v>
      </x:c>
      <x:c r="B122" s="20" t="n">
        <x:v>3</x:v>
      </x:c>
      <x:c r="C122" s="20" t="str">
        <x:v>ternary</x:v>
      </x:c>
      <x:c r="D122" s="20" t="str">
        <x:v>DQ</x:v>
      </x:c>
      <x:c r="E122" s="23" t="n">
        <x:v>12</x:v>
      </x:c>
      <x:c r="F122" s="23" t="n">
        <x:v>37.49683892817654</x:v>
      </x:c>
      <x:c r="G122" s="23" t="n">
        <x:v>1842.6668897446161</x:v>
      </x:c>
      <x:c r="H122" s="23" t="n">
        <x:v>0.8154483994527991</x:v>
      </x:c>
      <x:c r="I122" s="23" t="n">
        <x:v>18.23208638866255</x:v>
      </x:c>
      <x:c r="J122" s="23" t="n">
        <x:v>12.785372602171808</x:v>
      </x:c>
      <x:c r="K122" s="23" t="n">
        <x:f>IF(E122&gt;0,J122/E122*100,"")</x:f>
        <x:v>106.54477168476507</x:v>
      </x:c>
      <x:c r="L122" s="23" t="n">
        <x:f>IF(E122&gt;0,ABS(J122-E122),"")</x:f>
        <x:v>0.7853726021718082</x:v>
      </x:c>
      <x:c r="M122" s="23" t="n">
        <x:v>1.1953169107437134</x:v>
      </x:c>
      <x:c r="N122" s="20" t="n">
        <x:v>86</x:v>
      </x:c>
      <x:c r="O122" s="20" t="str">
        <x:v>yes</x:v>
      </x:c>
    </x:row>
    <x:row r="123">
      <x:c r="A123" s="20" t="str">
        <x:v>DQ12-TB3-TH6.csv</x:v>
      </x:c>
      <x:c r="B123" s="20" t="n">
        <x:v>3</x:v>
      </x:c>
      <x:c r="C123" s="20" t="str">
        <x:v>ternary</x:v>
      </x:c>
      <x:c r="D123" s="20" t="str">
        <x:v>TBZ</x:v>
      </x:c>
      <x:c r="E123" s="23" t="n">
        <x:v>3</x:v>
      </x:c>
      <x:c r="F123" s="23" t="n">
        <x:v>38.427802753289214</x:v>
      </x:c>
      <x:c r="G123" s="23" t="n">
        <x:v>633.5622337760943</x:v>
      </x:c>
      <x:c r="H123" s="23" t="n">
        <x:v>1.126622679698759</x:v>
      </x:c>
      <x:c r="I123" s="23" t="n">
        <x:v>16.24038458743812</x:v>
      </x:c>
      <x:c r="J123" s="23" t="n">
        <x:v>9.433718991917004</x:v>
      </x:c>
      <x:c r="K123" s="23" t="n">
        <x:f>IF(E123&gt;0,J123/E123*100,"")</x:f>
        <x:v>314.4572997305668</x:v>
      </x:c>
      <x:c r="L123" s="23" t="n">
        <x:f>IF(E123&gt;0,ABS(J123-E123),"")</x:f>
        <x:v>6.433718991917004</x:v>
      </x:c>
      <x:c r="M123" s="23" t="n">
        <x:v>0.9229044318199158</x:v>
      </x:c>
      <x:c r="N123" s="20" t="n">
        <x:v>86</x:v>
      </x:c>
      <x:c r="O123" s="20" t="str">
        <x:v>yes</x:v>
      </x:c>
    </x:row>
    <x:row r="124">
      <x:c r="A124" s="20" t="str">
        <x:v>DQ12-TB3-TH6.csv</x:v>
      </x:c>
      <x:c r="B124" s="20" t="n">
        <x:v>3</x:v>
      </x:c>
      <x:c r="C124" s="20" t="str">
        <x:v>ternary</x:v>
      </x:c>
      <x:c r="D124" s="20" t="str">
        <x:v>THI</x:v>
      </x:c>
      <x:c r="E124" s="23" t="n">
        <x:v>6</x:v>
      </x:c>
      <x:c r="F124" s="23" t="n">
        <x:v>24.075358318434226</x:v>
      </x:c>
      <x:c r="G124" s="23" t="n">
        <x:v>1007.2815782307097</x:v>
      </x:c>
      <x:c r="H124" s="23" t="n">
        <x:v>1.0452569644221659</x:v>
      </x:c>
      <x:c r="I124" s="23" t="n">
        <x:v>4.841611424967677</x:v>
      </x:c>
      <x:c r="J124" s="23" t="n">
        <x:v>5.325952843274072</x:v>
      </x:c>
      <x:c r="K124" s="23" t="n">
        <x:f>IF(E124&gt;0,J124/E124*100,"")</x:f>
        <x:v>88.76588072123454</x:v>
      </x:c>
      <x:c r="L124" s="23" t="n">
        <x:f>IF(E124&gt;0,ABS(J124-E124),"")</x:f>
        <x:v>0.6740471567259281</x:v>
      </x:c>
      <x:c r="M124" s="23" t="n">
        <x:v>0.7071742415428162</x:v>
      </x:c>
      <x:c r="N124" s="20" t="n">
        <x:v>86</x:v>
      </x:c>
      <x:c r="O124" s="20" t="str">
        <x:v>yes</x:v>
      </x:c>
    </x:row>
    <x:row r="125">
      <x:c r="A125" s="20" t="str">
        <x:v>DQ12-TB6-TH24.csv</x:v>
      </x:c>
      <x:c r="B125" s="20" t="n">
        <x:v>3</x:v>
      </x:c>
      <x:c r="C125" s="20" t="str">
        <x:v>ternary</x:v>
      </x:c>
      <x:c r="D125" s="20" t="str">
        <x:v>DQ</x:v>
      </x:c>
      <x:c r="E125" s="23" t="n">
        <x:v>12</x:v>
      </x:c>
      <x:c r="F125" s="23" t="n">
        <x:v>30.981239143937696</x:v>
      </x:c>
      <x:c r="G125" s="23" t="n">
        <x:v>2384.29635250368</x:v>
      </x:c>
      <x:c r="H125" s="23" t="n">
        <x:v>1.0677976767292385</x:v>
      </x:c>
      <x:c r="I125" s="23" t="n">
        <x:v>10.66930390587116</x:v>
      </x:c>
      <x:c r="J125" s="23" t="n">
        <x:v>9.844996086448038</x:v>
      </x:c>
      <x:c r="K125" s="23" t="n">
        <x:f>IF(E125&gt;0,J125/E125*100,"")</x:f>
        <x:v>82.04163405373365</x:v>
      </x:c>
      <x:c r="L125" s="23" t="n">
        <x:f>IF(E125&gt;0,ABS(J125-E125),"")</x:f>
        <x:v>2.155003913551962</x:v>
      </x:c>
      <x:c r="M125" s="23" t="n">
        <x:v>0.9647265672683716</x:v>
      </x:c>
      <x:c r="N125" s="20" t="n">
        <x:v>86</x:v>
      </x:c>
      <x:c r="O125" s="20" t="str">
        <x:v>yes</x:v>
      </x:c>
    </x:row>
    <x:row r="126">
      <x:c r="A126" s="20" t="str">
        <x:v>DQ12-TB6-TH24.csv</x:v>
      </x:c>
      <x:c r="B126" s="20" t="n">
        <x:v>3</x:v>
      </x:c>
      <x:c r="C126" s="20" t="str">
        <x:v>ternary</x:v>
      </x:c>
      <x:c r="D126" s="20" t="str">
        <x:v>TBZ</x:v>
      </x:c>
      <x:c r="E126" s="23" t="n">
        <x:v>6</x:v>
      </x:c>
      <x:c r="F126" s="23" t="n">
        <x:v>19.973071627599833</x:v>
      </x:c>
      <x:c r="G126" s="23" t="n">
        <x:v>419.5994310408595</x:v>
      </x:c>
      <x:c r="H126" s="23" t="n">
        <x:v>0.9901097492712446</x:v>
      </x:c>
      <x:c r="I126" s="23" t="n">
        <x:v>9.339154049980628</x:v>
      </x:c>
      <x:c r="J126" s="23" t="n">
        <x:v>5.951886007962014</x:v>
      </x:c>
      <x:c r="K126" s="23" t="n">
        <x:f>IF(E126&gt;0,J126/E126*100,"")</x:f>
        <x:v>99.19810013270023</x:v>
      </x:c>
      <x:c r="L126" s="23" t="n">
        <x:f>IF(E126&gt;0,ABS(J126-E126),"")</x:f>
        <x:v>0.04811399203798583</x:v>
      </x:c>
      <x:c r="M126" s="23" t="n">
        <x:v>0.778971254825592</x:v>
      </x:c>
      <x:c r="N126" s="20" t="n">
        <x:v>86</x:v>
      </x:c>
      <x:c r="O126" s="20" t="str">
        <x:v>yes</x:v>
      </x:c>
    </x:row>
    <x:row r="127">
      <x:c r="A127" s="20" t="str">
        <x:v>DQ12-TB6-TH24.csv</x:v>
      </x:c>
      <x:c r="B127" s="20" t="n">
        <x:v>3</x:v>
      </x:c>
      <x:c r="C127" s="20" t="str">
        <x:v>ternary</x:v>
      </x:c>
      <x:c r="D127" s="20" t="str">
        <x:v>THI</x:v>
      </x:c>
      <x:c r="E127" s="23" t="n">
        <x:v>24</x:v>
      </x:c>
      <x:c r="F127" s="23" t="n">
        <x:v>49.04568922836246</x:v>
      </x:c>
      <x:c r="G127" s="23" t="n">
        <x:v>5807.454193788738</x:v>
      </x:c>
      <x:c r="H127" s="23" t="n">
        <x:v>11.731225724117424</x:v>
      </x:c>
      <x:c r="I127" s="23" t="n">
        <x:v>18.780171668430235</x:v>
      </x:c>
      <x:c r="J127" s="23" t="n">
        <x:v>27.47569985721149</x:v>
      </x:c>
      <x:c r="K127" s="23" t="n">
        <x:f>IF(E127&gt;0,J127/E127*100,"")</x:f>
        <x:v>114.48208273838121</x:v>
      </x:c>
      <x:c r="L127" s="23" t="n">
        <x:f>IF(E127&gt;0,ABS(J127-E127),"")</x:f>
        <x:v>3.4756998572114917</x:v>
      </x:c>
      <x:c r="M127" s="23" t="n">
        <x:v>0.3696053922176361</x:v>
      </x:c>
      <x:c r="N127" s="20" t="n">
        <x:v>86</x:v>
      </x:c>
      <x:c r="O127" s="20" t="str">
        <x:v>yes</x:v>
      </x:c>
    </x:row>
    <x:row r="128">
      <x:c r="A128" s="20" t="str">
        <x:v>DQ150-TB0-TH50.csv</x:v>
      </x:c>
      <x:c r="B128" s="20" t="n">
        <x:v>3</x:v>
      </x:c>
      <x:c r="C128" s="20" t="str">
        <x:v>binary</x:v>
      </x:c>
      <x:c r="D128" s="20" t="str">
        <x:v>DQ</x:v>
      </x:c>
      <x:c r="E128" s="23" t="n">
        <x:v>150</x:v>
      </x:c>
      <x:c r="F128" s="23" t="n">
        <x:v>46.71418829942331</x:v>
      </x:c>
      <x:c r="G128" s="23" t="n">
        <x:v>3634.1268740240125</x:v>
      </x:c>
      <x:c r="H128" s="23" t="n">
        <x:v>1.9892269064547876</x:v>
      </x:c>
      <x:c r="I128" s="23" t="n">
        <x:v>24.198798964736753</x:v>
      </x:c>
      <x:c r="J128" s="23" t="n">
        <x:v>27.08504452275547</x:v>
      </x:c>
      <x:c r="K128" s="23" t="n">
        <x:f>IF(E128&gt;0,J128/E128*100,"")</x:f>
        <x:v>18.05669634850365</x:v>
      </x:c>
      <x:c r="L128" s="23" t="n">
        <x:f>IF(E128&gt;0,ABS(J128-E128),"")</x:f>
        <x:v>122.91495547724453</x:v>
      </x:c>
      <x:c r="M128" s="23" t="n">
        <x:v>1.1340452432632446</x:v>
      </x:c>
      <x:c r="N128" s="20" t="n">
        <x:v>86</x:v>
      </x:c>
      <x:c r="O128" s="20" t="str">
        <x:v>no</x:v>
      </x:c>
    </x:row>
    <x:row r="129">
      <x:c r="A129" s="20" t="str">
        <x:v>DQ150-TB0-TH50.csv</x:v>
      </x:c>
      <x:c r="B129" s="20" t="n">
        <x:v>3</x:v>
      </x:c>
      <x:c r="C129" s="20" t="str">
        <x:v>binary</x:v>
      </x:c>
      <x:c r="D129" s="20" t="str">
        <x:v>TBZ</x:v>
      </x:c>
      <x:c r="E129" s="23" t="n">
        <x:v>0</x:v>
      </x:c>
      <x:c r="F129" s="23" t="n">
        <x:v>5.3669317739995925</x:v>
      </x:c>
      <x:c r="G129" s="23" t="n">
        <x:v>244.4740674436264</x:v>
      </x:c>
      <x:c r="H129" s="23" t="n">
        <x:v>0.8907796578894663</x:v>
      </x:c>
      <x:c r="I129" s="23" t="n">
        <x:v>7.089453006797332</x:v>
      </x:c>
      <x:c r="J129" s="23" t="n">
        <x:v>6.303882109443923</x:v>
      </x:c>
      <x:c r="K129" s="23" t="str">
        <x:f>IF(E129&gt;0,J129/E129*100,"")</x:f>
      </x:c>
      <x:c r="L129" s="23" t="str">
        <x:f>IF(E129&gt;0,ABS(J129-E129),"")</x:f>
      </x:c>
      <x:c r="M129" s="23" t="n">
        <x:v>0.8498377799987793</x:v>
      </x:c>
      <x:c r="N129" s="20" t="n">
        <x:v>86</x:v>
      </x:c>
      <x:c r="O129" s="20" t="str">
        <x:v>no</x:v>
      </x:c>
    </x:row>
    <x:row r="130">
      <x:c r="A130" s="20" t="str">
        <x:v>DQ150-TB0-TH50.csv</x:v>
      </x:c>
      <x:c r="B130" s="20" t="n">
        <x:v>3</x:v>
      </x:c>
      <x:c r="C130" s="20" t="str">
        <x:v>binary</x:v>
      </x:c>
      <x:c r="D130" s="20" t="str">
        <x:v>THI</x:v>
      </x:c>
      <x:c r="E130" s="23" t="n">
        <x:v>50</x:v>
      </x:c>
      <x:c r="F130" s="23" t="n">
        <x:v>47.91887992647709</x:v>
      </x:c>
      <x:c r="G130" s="23" t="n">
        <x:v>6873.1977111082315</x:v>
      </x:c>
      <x:c r="H130" s="23" t="n">
        <x:v>20.06749281669987</x:v>
      </x:c>
      <x:c r="I130" s="23" t="n">
        <x:v>19.287542796656822</x:v>
      </x:c>
      <x:c r="J130" s="23" t="n">
        <x:v>32.394662054367714</x:v>
      </x:c>
      <x:c r="K130" s="23" t="n">
        <x:f>IF(E130&gt;0,J130/E130*100,"")</x:f>
        <x:v>64.78932410873543</x:v>
      </x:c>
      <x:c r="L130" s="23" t="n">
        <x:f>IF(E130&gt;0,ABS(J130-E130),"")</x:f>
        <x:v>17.605337945632286</x:v>
      </x:c>
      <x:c r="M130" s="23" t="n">
        <x:v>0.20798033475875854</x:v>
      </x:c>
      <x:c r="N130" s="20" t="n">
        <x:v>86</x:v>
      </x:c>
      <x:c r="O130" s="20" t="str">
        <x:v>no</x:v>
      </x:c>
    </x:row>
    <x:row r="131">
      <x:c r="A131" s="20" t="str">
        <x:v>DQ24-TB12-TH12.csv</x:v>
      </x:c>
      <x:c r="B131" s="20" t="n">
        <x:v>3</x:v>
      </x:c>
      <x:c r="C131" s="20" t="str">
        <x:v>ternary</x:v>
      </x:c>
      <x:c r="D131" s="20" t="str">
        <x:v>DQ</x:v>
      </x:c>
      <x:c r="E131" s="23" t="n">
        <x:v>24</x:v>
      </x:c>
      <x:c r="F131" s="23" t="n">
        <x:v>36.20428900076734</x:v>
      </x:c>
      <x:c r="G131" s="23" t="n">
        <x:v>4538.579455044607</x:v>
      </x:c>
      <x:c r="H131" s="23" t="n">
        <x:v>3.1204263967757666</x:v>
      </x:c>
      <x:c r="I131" s="23" t="n">
        <x:v>7.8331750787129195</x:v>
      </x:c>
      <x:c r="J131" s="23" t="n">
        <x:v>7.656475139526295</x:v>
      </x:c>
      <x:c r="K131" s="23" t="n">
        <x:f>IF(E131&gt;0,J131/E131*100,"")</x:f>
        <x:v>31.90197974802623</x:v>
      </x:c>
      <x:c r="L131" s="23" t="n">
        <x:f>IF(E131&gt;0,ABS(J131-E131),"")</x:f>
        <x:v>16.343524860473707</x:v>
      </x:c>
      <x:c r="M131" s="23" t="n">
        <x:v>0.38981491327285767</x:v>
      </x:c>
      <x:c r="N131" s="20" t="n">
        <x:v>86</x:v>
      </x:c>
      <x:c r="O131" s="20" t="str">
        <x:v>yes</x:v>
      </x:c>
    </x:row>
    <x:row r="132">
      <x:c r="A132" s="20" t="str">
        <x:v>DQ24-TB12-TH12.csv</x:v>
      </x:c>
      <x:c r="B132" s="20" t="n">
        <x:v>3</x:v>
      </x:c>
      <x:c r="C132" s="20" t="str">
        <x:v>ternary</x:v>
      </x:c>
      <x:c r="D132" s="20" t="str">
        <x:v>TBZ</x:v>
      </x:c>
      <x:c r="E132" s="23" t="n">
        <x:v>12</x:v>
      </x:c>
      <x:c r="F132" s="23" t="n">
        <x:v>16.18638664646858</x:v>
      </x:c>
      <x:c r="G132" s="23" t="n">
        <x:v>1270.7038788475875</x:v>
      </x:c>
      <x:c r="H132" s="23" t="n">
        <x:v>1.6550818547268586</x:v>
      </x:c>
      <x:c r="I132" s="23" t="n">
        <x:v>5.759274169244316</x:v>
      </x:c>
      <x:c r="J132" s="23" t="n">
        <x:v>3.0234583316305588</x:v>
      </x:c>
      <x:c r="K132" s="23" t="n">
        <x:f>IF(E132&gt;0,J132/E132*100,"")</x:f>
        <x:v>25.19548609692132</x:v>
      </x:c>
      <x:c r="L132" s="23" t="n">
        <x:f>IF(E132&gt;0,ABS(J132-E132),"")</x:f>
        <x:v>8.97654166836944</x:v>
      </x:c>
      <x:c r="M132" s="23" t="n">
        <x:v>0.26168450713157654</x:v>
      </x:c>
      <x:c r="N132" s="20" t="n">
        <x:v>86</x:v>
      </x:c>
      <x:c r="O132" s="20" t="str">
        <x:v>yes</x:v>
      </x:c>
    </x:row>
    <x:row r="133">
      <x:c r="A133" s="20" t="str">
        <x:v>DQ24-TB12-TH12.csv</x:v>
      </x:c>
      <x:c r="B133" s="20" t="n">
        <x:v>3</x:v>
      </x:c>
      <x:c r="C133" s="20" t="str">
        <x:v>ternary</x:v>
      </x:c>
      <x:c r="D133" s="20" t="str">
        <x:v>THI</x:v>
      </x:c>
      <x:c r="E133" s="23" t="n">
        <x:v>12</x:v>
      </x:c>
      <x:c r="F133" s="23" t="n">
        <x:v>47.60932435266408</x:v>
      </x:c>
      <x:c r="G133" s="23" t="n">
        <x:v>7298.615534341673</x:v>
      </x:c>
      <x:c r="H133" s="23" t="n">
        <x:v>24.863403731769708</x:v>
      </x:c>
      <x:c r="I133" s="23" t="n">
        <x:v>13.190998207887448</x:v>
      </x:c>
      <x:c r="J133" s="23" t="n">
        <x:v>10.459872012840213</x:v>
      </x:c>
      <x:c r="K133" s="23" t="n">
        <x:f>IF(E133&gt;0,J133/E133*100,"")</x:f>
        <x:v>87.16560010700178</x:v>
      </x:c>
      <x:c r="L133" s="23" t="n">
        <x:f>IF(E133&gt;0,ABS(J133-E133),"")</x:f>
        <x:v>1.5401279871597868</x:v>
      </x:c>
      <x:c r="M133" s="23" t="n">
        <x:v>-0.3760342001914978</x:v>
      </x:c>
      <x:c r="N133" s="20" t="n">
        <x:v>86</x:v>
      </x:c>
      <x:c r="O133" s="20" t="str">
        <x:v>yes</x:v>
      </x:c>
    </x:row>
    <x:row r="134">
      <x:c r="A134" s="20" t="str">
        <x:v>DQ24-TB12-TH3.csv</x:v>
      </x:c>
      <x:c r="B134" s="20" t="n">
        <x:v>3</x:v>
      </x:c>
      <x:c r="C134" s="20" t="str">
        <x:v>ternary</x:v>
      </x:c>
      <x:c r="D134" s="20" t="str">
        <x:v>DQ</x:v>
      </x:c>
      <x:c r="E134" s="23" t="n">
        <x:v>24</x:v>
      </x:c>
      <x:c r="F134" s="23" t="n">
        <x:v>52.931613984629436</x:v>
      </x:c>
      <x:c r="G134" s="23" t="n">
        <x:v>7493.150986304327</x:v>
      </x:c>
      <x:c r="H134" s="23" t="n">
        <x:v>13.581562723511198</x:v>
      </x:c>
      <x:c r="I134" s="23" t="n">
        <x:v>22.314640524039074</x:v>
      </x:c>
      <x:c r="J134" s="23" t="n">
        <x:v>26.60719602115739</x:v>
      </x:c>
      <x:c r="K134" s="23" t="n">
        <x:f>IF(E134&gt;0,J134/E134*100,"")</x:f>
        <x:v>110.86331675482246</x:v>
      </x:c>
      <x:c r="L134" s="23" t="n">
        <x:f>IF(E134&gt;0,ABS(J134-E134),"")</x:f>
        <x:v>2.607196021157389</x:v>
      </x:c>
      <x:c r="M134" s="23" t="n">
        <x:v>0.292049378156662</x:v>
      </x:c>
      <x:c r="N134" s="20" t="n">
        <x:v>86</x:v>
      </x:c>
      <x:c r="O134" s="20" t="str">
        <x:v>yes</x:v>
      </x:c>
    </x:row>
    <x:row r="135">
      <x:c r="A135" s="20" t="str">
        <x:v>DQ24-TB12-TH3.csv</x:v>
      </x:c>
      <x:c r="B135" s="20" t="n">
        <x:v>3</x:v>
      </x:c>
      <x:c r="C135" s="20" t="str">
        <x:v>ternary</x:v>
      </x:c>
      <x:c r="D135" s="20" t="str">
        <x:v>TBZ</x:v>
      </x:c>
      <x:c r="E135" s="23" t="n">
        <x:v>12</x:v>
      </x:c>
      <x:c r="F135" s="23" t="n">
        <x:v>35.701879697204696</x:v>
      </x:c>
      <x:c r="G135" s="23" t="n">
        <x:v>1677.0874458952117</x:v>
      </x:c>
      <x:c r="H135" s="23" t="n">
        <x:v>2.1152517052523723</x:v>
      </x:c>
      <x:c r="I135" s="23" t="n">
        <x:v>7.49700406707101</x:v>
      </x:c>
      <x:c r="J135" s="23" t="n">
        <x:v>7.82248161282018</x:v>
      </x:c>
      <x:c r="K135" s="23" t="n">
        <x:f>IF(E135&gt;0,J135/E135*100,"")</x:f>
        <x:v>65.1873467735015</x:v>
      </x:c>
      <x:c r="L135" s="23" t="n">
        <x:f>IF(E135&gt;0,ABS(J135-E135),"")</x:f>
        <x:v>4.17751838717982</x:v>
      </x:c>
      <x:c r="M135" s="23" t="n">
        <x:v>0.5679824948310852</x:v>
      </x:c>
      <x:c r="N135" s="20" t="n">
        <x:v>86</x:v>
      </x:c>
      <x:c r="O135" s="20" t="str">
        <x:v>yes</x:v>
      </x:c>
    </x:row>
    <x:row r="136">
      <x:c r="A136" s="20" t="str">
        <x:v>DQ24-TB12-TH3.csv</x:v>
      </x:c>
      <x:c r="B136" s="20" t="n">
        <x:v>3</x:v>
      </x:c>
      <x:c r="C136" s="20" t="str">
        <x:v>ternary</x:v>
      </x:c>
      <x:c r="D136" s="20" t="str">
        <x:v>THI</x:v>
      </x:c>
      <x:c r="E136" s="23" t="n">
        <x:v>3</x:v>
      </x:c>
      <x:c r="F136" s="23" t="n">
        <x:v>11.366506318065849</x:v>
      </x:c>
      <x:c r="G136" s="23" t="n">
        <x:v>3243.3970366817757</x:v>
      </x:c>
      <x:c r="H136" s="23" t="n">
        <x:v>3.2241243755092417</x:v>
      </x:c>
      <x:c r="I136" s="23" t="n">
        <x:v>3.8391592428261756</x:v>
      </x:c>
      <x:c r="J136" s="23" t="n">
        <x:v>3.5033768034467787</x:v>
      </x:c>
      <x:c r="K136" s="23" t="n">
        <x:f>IF(E136&gt;0,J136/E136*100,"")</x:f>
        <x:v>116.7792267815593</x:v>
      </x:c>
      <x:c r="L136" s="23" t="n">
        <x:f>IF(E136&gt;0,ABS(J136-E136),"")</x:f>
        <x:v>0.5033768034467787</x:v>
      </x:c>
      <x:c r="M136" s="23" t="n">
        <x:v>0.03607506677508354</x:v>
      </x:c>
      <x:c r="N136" s="20" t="n">
        <x:v>86</x:v>
      </x:c>
      <x:c r="O136" s="20" t="str">
        <x:v>yes</x:v>
      </x:c>
    </x:row>
    <x:row r="137">
      <x:c r="A137" s="20" t="str">
        <x:v>DQ24-TB12-TH6.csv</x:v>
      </x:c>
      <x:c r="B137" s="20" t="n">
        <x:v>3</x:v>
      </x:c>
      <x:c r="C137" s="20" t="str">
        <x:v>ternary</x:v>
      </x:c>
      <x:c r="D137" s="20" t="str">
        <x:v>DQ</x:v>
      </x:c>
      <x:c r="E137" s="23" t="n">
        <x:v>24</x:v>
      </x:c>
      <x:c r="F137" s="23" t="n">
        <x:v>60.04706241163975</x:v>
      </x:c>
      <x:c r="G137" s="23" t="n">
        <x:v>7018.401884188664</x:v>
      </x:c>
      <x:c r="H137" s="23" t="n">
        <x:v>10.722988177780117</x:v>
      </x:c>
      <x:c r="I137" s="23" t="n">
        <x:v>29.805762600522662</x:v>
      </x:c>
      <x:c r="J137" s="23" t="n">
        <x:v>28.49331442266541</x:v>
      </x:c>
      <x:c r="K137" s="23" t="n">
        <x:f>IF(E137&gt;0,J137/E137*100,"")</x:f>
        <x:v>118.72214342777254</x:v>
      </x:c>
      <x:c r="L137" s="23" t="n">
        <x:f>IF(E137&gt;0,ABS(J137-E137),"")</x:f>
        <x:v>4.49331442266541</x:v>
      </x:c>
      <x:c r="M137" s="23" t="n">
        <x:v>0.4244271516799927</x:v>
      </x:c>
      <x:c r="N137" s="20" t="n">
        <x:v>86</x:v>
      </x:c>
      <x:c r="O137" s="20" t="str">
        <x:v>yes</x:v>
      </x:c>
    </x:row>
    <x:row r="138">
      <x:c r="A138" s="20" t="str">
        <x:v>DQ24-TB12-TH6.csv</x:v>
      </x:c>
      <x:c r="B138" s="20" t="n">
        <x:v>3</x:v>
      </x:c>
      <x:c r="C138" s="20" t="str">
        <x:v>ternary</x:v>
      </x:c>
      <x:c r="D138" s="20" t="str">
        <x:v>TBZ</x:v>
      </x:c>
      <x:c r="E138" s="23" t="n">
        <x:v>12</x:v>
      </x:c>
      <x:c r="F138" s="23" t="n">
        <x:v>25.73609921448296</x:v>
      </x:c>
      <x:c r="G138" s="23" t="n">
        <x:v>1119.7293263469664</x:v>
      </x:c>
      <x:c r="H138" s="23" t="n">
        <x:v>1.5109083059616275</x:v>
      </x:c>
      <x:c r="I138" s="23" t="n">
        <x:v>6.496695288118443</x:v>
      </x:c>
      <x:c r="J138" s="23" t="n">
        <x:v>6.655036277847759</x:v>
      </x:c>
      <x:c r="K138" s="23" t="n">
        <x:f>IF(E138&gt;0,J138/E138*100,"")</x:f>
        <x:v>55.458635648731324</x:v>
      </x:c>
      <x:c r="L138" s="23" t="n">
        <x:f>IF(E138&gt;0,ABS(J138-E138),"")</x:f>
        <x:v>5.344963722152241</x:v>
      </x:c>
      <x:c r="M138" s="23" t="n">
        <x:v>0.6439123153686523</x:v>
      </x:c>
      <x:c r="N138" s="20" t="n">
        <x:v>86</x:v>
      </x:c>
      <x:c r="O138" s="20" t="str">
        <x:v>yes</x:v>
      </x:c>
    </x:row>
    <x:row r="139">
      <x:c r="A139" s="20" t="str">
        <x:v>DQ24-TB12-TH6.csv</x:v>
      </x:c>
      <x:c r="B139" s="20" t="n">
        <x:v>3</x:v>
      </x:c>
      <x:c r="C139" s="20" t="str">
        <x:v>ternary</x:v>
      </x:c>
      <x:c r="D139" s="20" t="str">
        <x:v>THI</x:v>
      </x:c>
      <x:c r="E139" s="23" t="n">
        <x:v>6</x:v>
      </x:c>
      <x:c r="F139" s="23" t="n">
        <x:v>14.216838373777293</x:v>
      </x:c>
      <x:c r="G139" s="23" t="n">
        <x:v>6504.437174699265</x:v>
      </x:c>
      <x:c r="H139" s="23" t="n">
        <x:v>16.665578985848942</x:v>
      </x:c>
      <x:c r="I139" s="23" t="n">
        <x:v>8.998876071913502</x:v>
      </x:c>
      <x:c r="J139" s="23" t="n">
        <x:v>9.107967838292733</x:v>
      </x:c>
      <x:c r="K139" s="23" t="n">
        <x:f>IF(E139&gt;0,J139/E139*100,"")</x:f>
        <x:v>151.79946397154555</x:v>
      </x:c>
      <x:c r="L139" s="23" t="n">
        <x:f>IF(E139&gt;0,ABS(J139-E139),"")</x:f>
        <x:v>3.1079678382927334</x:v>
      </x:c>
      <x:c r="M139" s="23" t="n">
        <x:v>-0.262398898601532</x:v>
      </x:c>
      <x:c r="N139" s="20" t="n">
        <x:v>86</x:v>
      </x:c>
      <x:c r="O139" s="20" t="str">
        <x:v>yes</x:v>
      </x:c>
    </x:row>
    <x:row r="140">
      <x:c r="A140" s="20" t="str">
        <x:v>DQ24-TB24-TH24.csv</x:v>
      </x:c>
      <x:c r="B140" s="20" t="n">
        <x:v>3</x:v>
      </x:c>
      <x:c r="C140" s="20" t="str">
        <x:v>ternary</x:v>
      </x:c>
      <x:c r="D140" s="20" t="str">
        <x:v>DQ</x:v>
      </x:c>
      <x:c r="E140" s="23" t="n">
        <x:v>24</x:v>
      </x:c>
      <x:c r="F140" s="23" t="n">
        <x:v>26.080742472887742</x:v>
      </x:c>
      <x:c r="G140" s="23" t="n">
        <x:v>4289.876589873268</x:v>
      </x:c>
      <x:c r="H140" s="23" t="n">
        <x:v>2.757071103784796</x:v>
      </x:c>
      <x:c r="I140" s="23" t="n">
        <x:v>6.636177562532659</x:v>
      </x:c>
      <x:c r="J140" s="23" t="n">
        <x:v>7.550301333429458</x:v>
      </x:c>
      <x:c r="K140" s="23" t="n">
        <x:f>IF(E140&gt;0,J140/E140*100,"")</x:f>
        <x:v>31.459588889289407</x:v>
      </x:c>
      <x:c r="L140" s="23" t="n">
        <x:f>IF(E140&gt;0,ABS(J140-E140),"")</x:f>
        <x:v>16.44969866657054</x:v>
      </x:c>
      <x:c r="M140" s="23" t="n">
        <x:v>0.43751630187034607</x:v>
      </x:c>
      <x:c r="N140" s="20" t="n">
        <x:v>86</x:v>
      </x:c>
      <x:c r="O140" s="20" t="str">
        <x:v>yes</x:v>
      </x:c>
    </x:row>
    <x:row r="141">
      <x:c r="A141" s="20" t="str">
        <x:v>DQ24-TB24-TH24.csv</x:v>
      </x:c>
      <x:c r="B141" s="20" t="n">
        <x:v>3</x:v>
      </x:c>
      <x:c r="C141" s="20" t="str">
        <x:v>ternary</x:v>
      </x:c>
      <x:c r="D141" s="20" t="str">
        <x:v>TBZ</x:v>
      </x:c>
      <x:c r="E141" s="23" t="n">
        <x:v>24</x:v>
      </x:c>
      <x:c r="F141" s="23" t="n">
        <x:v>37.00950416120573</x:v>
      </x:c>
      <x:c r="G141" s="23" t="n">
        <x:v>2297.6316221419606</x:v>
      </x:c>
      <x:c r="H141" s="23" t="n">
        <x:v>3.0764626187571684</x:v>
      </x:c>
      <x:c r="I141" s="23" t="n">
        <x:v>15.764800145153092</x:v>
      </x:c>
      <x:c r="J141" s="23" t="n">
        <x:v>10.183306003402567</x:v>
      </x:c>
      <x:c r="K141" s="23" t="n">
        <x:f>IF(E141&gt;0,J141/E141*100,"")</x:f>
        <x:v>42.43044168084403</x:v>
      </x:c>
      <x:c r="L141" s="23" t="n">
        <x:f>IF(E141&gt;0,ABS(J141-E141),"")</x:f>
        <x:v>13.816693996597433</x:v>
      </x:c>
      <x:c r="M141" s="23" t="n">
        <x:v>0.5198371410369873</x:v>
      </x:c>
      <x:c r="N141" s="20" t="n">
        <x:v>86</x:v>
      </x:c>
      <x:c r="O141" s="20" t="str">
        <x:v>yes</x:v>
      </x:c>
    </x:row>
    <x:row r="142">
      <x:c r="A142" s="20" t="str">
        <x:v>DQ24-TB24-TH24.csv</x:v>
      </x:c>
      <x:c r="B142" s="20" t="n">
        <x:v>3</x:v>
      </x:c>
      <x:c r="C142" s="20" t="str">
        <x:v>ternary</x:v>
      </x:c>
      <x:c r="D142" s="20" t="str">
        <x:v>THI</x:v>
      </x:c>
      <x:c r="E142" s="23" t="n">
        <x:v>24</x:v>
      </x:c>
      <x:c r="F142" s="23" t="n">
        <x:v>36.90975336580652</x:v>
      </x:c>
      <x:c r="G142" s="23" t="n">
        <x:v>7152.489676359029</x:v>
      </x:c>
      <x:c r="H142" s="23" t="n">
        <x:v>23.098992472913814</x:v>
      </x:c>
      <x:c r="I142" s="23" t="n">
        <x:v>15.783577093985313</x:v>
      </x:c>
      <x:c r="J142" s="23" t="n">
        <x:v>12.45083548805415</x:v>
      </x:c>
      <x:c r="K142" s="23" t="n">
        <x:f>IF(E142&gt;0,J142/E142*100,"")</x:f>
        <x:v>51.87848120022562</x:v>
      </x:c>
      <x:c r="L142" s="23" t="n">
        <x:f>IF(E142&gt;0,ABS(J142-E142),"")</x:f>
        <x:v>11.54916451194585</x:v>
      </x:c>
      <x:c r="M142" s="23" t="n">
        <x:v>-0.2683945298194885</x:v>
      </x:c>
      <x:c r="N142" s="20" t="n">
        <x:v>86</x:v>
      </x:c>
      <x:c r="O142" s="20" t="str">
        <x:v>yes</x:v>
      </x:c>
    </x:row>
    <x:row r="143">
      <x:c r="A143" s="20" t="str">
        <x:v>DQ250-TB0-TH50.csv</x:v>
      </x:c>
      <x:c r="B143" s="20" t="n">
        <x:v>3</x:v>
      </x:c>
      <x:c r="C143" s="20" t="str">
        <x:v>binary</x:v>
      </x:c>
      <x:c r="D143" s="20" t="str">
        <x:v>DQ</x:v>
      </x:c>
      <x:c r="E143" s="23" t="n">
        <x:v>250</x:v>
      </x:c>
      <x:c r="F143" s="23" t="n">
        <x:v>16.985961861717914</x:v>
      </x:c>
      <x:c r="G143" s="23" t="n">
        <x:v>1626.6178758469878</x:v>
      </x:c>
      <x:c r="H143" s="23" t="n">
        <x:v>0.7323012918982361</x:v>
      </x:c>
      <x:c r="I143" s="23" t="n">
        <x:v>25.551684888360246</x:v>
      </x:c>
      <x:c r="J143" s="23" t="n">
        <x:v>30.094805232925008</x:v>
      </x:c>
      <x:c r="K143" s="23" t="n">
        <x:f>IF(E143&gt;0,J143/E143*100,"")</x:f>
        <x:v>12.037922093170003</x:v>
      </x:c>
      <x:c r="L143" s="23" t="n">
        <x:f>IF(E143&gt;0,ABS(J143-E143),"")</x:f>
        <x:v>219.905194767075</x:v>
      </x:c>
      <x:c r="M143" s="23" t="n">
        <x:v>1.6138017177581787</x:v>
      </x:c>
      <x:c r="N143" s="20" t="n">
        <x:v>86</x:v>
      </x:c>
      <x:c r="O143" s="20" t="str">
        <x:v>no</x:v>
      </x:c>
    </x:row>
    <x:row r="144">
      <x:c r="A144" s="20" t="str">
        <x:v>DQ250-TB0-TH50.csv</x:v>
      </x:c>
      <x:c r="B144" s="20" t="n">
        <x:v>3</x:v>
      </x:c>
      <x:c r="C144" s="20" t="str">
        <x:v>binary</x:v>
      </x:c>
      <x:c r="D144" s="20" t="str">
        <x:v>TBZ</x:v>
      </x:c>
      <x:c r="E144" s="23" t="n">
        <x:v>0</x:v>
      </x:c>
      <x:c r="F144" s="23" t="n">
        <x:v>3.827701633501537</x:v>
      </x:c>
      <x:c r="G144" s="23" t="n">
        <x:v>188.86891165216068</x:v>
      </x:c>
      <x:c r="H144" s="23" t="n">
        <x:v>0.861374777470545</x:v>
      </x:c>
      <x:c r="I144" s="23" t="n">
        <x:v>18.374221488638945</x:v>
      </x:c>
      <x:c r="J144" s="23" t="n">
        <x:v>15.669084554318683</x:v>
      </x:c>
      <x:c r="K144" s="23" t="str">
        <x:f>IF(E144&gt;0,J144/E144*100,"")</x:f>
      </x:c>
      <x:c r="L144" s="23" t="str">
        <x:f>IF(E144&gt;0,ABS(J144-E144),"")</x:f>
      </x:c>
      <x:c r="M144" s="23" t="n">
        <x:v>1.2598514556884766</x:v>
      </x:c>
      <x:c r="N144" s="20" t="n">
        <x:v>86</x:v>
      </x:c>
      <x:c r="O144" s="20" t="str">
        <x:v>no</x:v>
      </x:c>
    </x:row>
    <x:row r="145">
      <x:c r="A145" s="20" t="str">
        <x:v>DQ250-TB0-TH50.csv</x:v>
      </x:c>
      <x:c r="B145" s="20" t="n">
        <x:v>3</x:v>
      </x:c>
      <x:c r="C145" s="20" t="str">
        <x:v>binary</x:v>
      </x:c>
      <x:c r="D145" s="20" t="str">
        <x:v>THI</x:v>
      </x:c>
      <x:c r="E145" s="23" t="n">
        <x:v>50</x:v>
      </x:c>
      <x:c r="F145" s="23" t="n">
        <x:v>79.18633650468053</x:v>
      </x:c>
      <x:c r="G145" s="23" t="n">
        <x:v>9578.405842106136</x:v>
      </x:c>
      <x:c r="H145" s="23" t="n">
        <x:v>78.39780867330417</x:v>
      </x:c>
      <x:c r="I145" s="23" t="n">
        <x:v>83.28118993030475</x:v>
      </x:c>
      <x:c r="J145" s="23" t="n">
        <x:v>159.87586343332703</x:v>
      </x:c>
      <x:c r="K145" s="23" t="n">
        <x:f>IF(E145&gt;0,J145/E145*100,"")</x:f>
        <x:v>319.75172686665405</x:v>
      </x:c>
      <x:c r="L145" s="23" t="n">
        <x:f>IF(E145&gt;0,ABS(J145-E145),"")</x:f>
        <x:v>109.87586343332703</x:v>
      </x:c>
      <x:c r="M145" s="23" t="n">
        <x:v>0.3094789981842041</x:v>
      </x:c>
      <x:c r="N145" s="20" t="n">
        <x:v>86</x:v>
      </x:c>
      <x:c r="O145" s="20" t="str">
        <x:v>no</x:v>
      </x:c>
    </x:row>
    <x:row r="146">
      <x:c r="A146" s="20" t="str">
        <x:v>DQ3-TB6-TH24.csv</x:v>
      </x:c>
      <x:c r="B146" s="20" t="n">
        <x:v>3</x:v>
      </x:c>
      <x:c r="C146" s="20" t="str">
        <x:v>ternary</x:v>
      </x:c>
      <x:c r="D146" s="20" t="str">
        <x:v>DQ</x:v>
      </x:c>
      <x:c r="E146" s="23" t="n">
        <x:v>3</x:v>
      </x:c>
      <x:c r="F146" s="23" t="n">
        <x:v>13.888442408087872</x:v>
      </x:c>
      <x:c r="G146" s="23" t="n">
        <x:v>2587.806251107607</x:v>
      </x:c>
      <x:c r="H146" s="23" t="n">
        <x:v>1.181639172559463</x:v>
      </x:c>
      <x:c r="I146" s="23" t="n">
        <x:v>8.374606442436544</x:v>
      </x:c>
      <x:c r="J146" s="23" t="n">
        <x:v>7.271424655856775</x:v>
      </x:c>
      <x:c r="K146" s="23" t="n">
        <x:f>IF(E146&gt;0,J146/E146*100,"")</x:f>
        <x:v>242.38082186189249</x:v>
      </x:c>
      <x:c r="L146" s="23" t="n">
        <x:f>IF(E146&gt;0,ABS(J146-E146),"")</x:f>
        <x:v>4.271424655856775</x:v>
      </x:c>
      <x:c r="M146" s="23" t="n">
        <x:v>0.7891346216201782</x:v>
      </x:c>
      <x:c r="N146" s="20" t="n">
        <x:v>86</x:v>
      </x:c>
      <x:c r="O146" s="20" t="str">
        <x:v>yes</x:v>
      </x:c>
    </x:row>
    <x:row r="147">
      <x:c r="A147" s="20" t="str">
        <x:v>DQ3-TB6-TH24.csv</x:v>
      </x:c>
      <x:c r="B147" s="20" t="n">
        <x:v>3</x:v>
      </x:c>
      <x:c r="C147" s="20" t="str">
        <x:v>ternary</x:v>
      </x:c>
      <x:c r="D147" s="20" t="str">
        <x:v>TBZ</x:v>
      </x:c>
      <x:c r="E147" s="23" t="n">
        <x:v>6</x:v>
      </x:c>
      <x:c r="F147" s="23" t="n">
        <x:v>14.681523824990666</x:v>
      </x:c>
      <x:c r="G147" s="23" t="n">
        <x:v>327.8711808871282</x:v>
      </x:c>
      <x:c r="H147" s="23" t="n">
        <x:v>0.9367737586390527</x:v>
      </x:c>
      <x:c r="I147" s="23" t="n">
        <x:v>8.81019971730248</x:v>
      </x:c>
      <x:c r="J147" s="23" t="n">
        <x:v>7.124602653772284</x:v>
      </x:c>
      <x:c r="K147" s="23" t="n">
        <x:f>IF(E147&gt;0,J147/E147*100,"")</x:f>
        <x:v>118.74337756287139</x:v>
      </x:c>
      <x:c r="L147" s="23" t="n">
        <x:f>IF(E147&gt;0,ABS(J147-E147),"")</x:f>
        <x:v>1.1246026537722837</x:v>
      </x:c>
      <x:c r="M147" s="23" t="n">
        <x:v>0.8811259269714355</x:v>
      </x:c>
      <x:c r="N147" s="20" t="n">
        <x:v>86</x:v>
      </x:c>
      <x:c r="O147" s="20" t="str">
        <x:v>yes</x:v>
      </x:c>
    </x:row>
    <x:row r="148">
      <x:c r="A148" s="20" t="str">
        <x:v>DQ3-TB6-TH24.csv</x:v>
      </x:c>
      <x:c r="B148" s="20" t="n">
        <x:v>3</x:v>
      </x:c>
      <x:c r="C148" s="20" t="str">
        <x:v>ternary</x:v>
      </x:c>
      <x:c r="D148" s="20" t="str">
        <x:v>THI</x:v>
      </x:c>
      <x:c r="E148" s="23" t="n">
        <x:v>24</x:v>
      </x:c>
      <x:c r="F148" s="23" t="n">
        <x:v>71.43003376682147</x:v>
      </x:c>
      <x:c r="G148" s="23" t="n">
        <x:v>6405.990435258136</x:v>
      </x:c>
      <x:c r="H148" s="23" t="n">
        <x:v>15.859280802806586</x:v>
      </x:c>
      <x:c r="I148" s="23" t="n">
        <x:v>23.844376202742083</x:v>
      </x:c>
      <x:c r="J148" s="23" t="n">
        <x:v>27.663330394341976</x:v>
      </x:c>
      <x:c r="K148" s="23" t="n">
        <x:f>IF(E148&gt;0,J148/E148*100,"")</x:f>
        <x:v>115.26387664309156</x:v>
      </x:c>
      <x:c r="L148" s="23" t="n">
        <x:f>IF(E148&gt;0,ABS(J148-E148),"")</x:f>
        <x:v>3.663330394341976</x:v>
      </x:c>
      <x:c r="M148" s="23" t="n">
        <x:v>0.2416209876537323</x:v>
      </x:c>
      <x:c r="N148" s="20" t="n">
        <x:v>86</x:v>
      </x:c>
      <x:c r="O148" s="20" t="str">
        <x:v>yes</x:v>
      </x:c>
    </x:row>
    <x:row r="149">
      <x:c r="A149" s="20" t="str">
        <x:v>DQ3-TB6-TH6.csv</x:v>
      </x:c>
      <x:c r="B149" s="20" t="n">
        <x:v>3</x:v>
      </x:c>
      <x:c r="C149" s="20" t="str">
        <x:v>ternary</x:v>
      </x:c>
      <x:c r="D149" s="20" t="str">
        <x:v>DQ</x:v>
      </x:c>
      <x:c r="E149" s="23" t="n">
        <x:v>3</x:v>
      </x:c>
      <x:c r="F149" s="23" t="n">
        <x:v>15.663934201289266</x:v>
      </x:c>
      <x:c r="G149" s="23" t="n">
        <x:v>3936.2940066135075</x:v>
      </x:c>
      <x:c r="H149" s="23" t="n">
        <x:v>2.312110073464281</x:v>
      </x:c>
      <x:c r="I149" s="23" t="n">
        <x:v>5.634055007271148</x:v>
      </x:c>
      <x:c r="J149" s="23" t="n">
        <x:v>4.115373125241937</x:v>
      </x:c>
      <x:c r="K149" s="23" t="n">
        <x:f>IF(E149&gt;0,J149/E149*100,"")</x:f>
        <x:v>137.17910417473124</x:v>
      </x:c>
      <x:c r="L149" s="23" t="n">
        <x:f>IF(E149&gt;0,ABS(J149-E149),"")</x:f>
        <x:v>1.1153731252419368</x:v>
      </x:c>
      <x:c r="M149" s="23" t="n">
        <x:v>0.25040072202682495</x:v>
      </x:c>
      <x:c r="N149" s="20" t="n">
        <x:v>86</x:v>
      </x:c>
      <x:c r="O149" s="20" t="str">
        <x:v>yes</x:v>
      </x:c>
    </x:row>
    <x:row r="150">
      <x:c r="A150" s="20" t="str">
        <x:v>DQ3-TB6-TH6.csv</x:v>
      </x:c>
      <x:c r="B150" s="20" t="n">
        <x:v>3</x:v>
      </x:c>
      <x:c r="C150" s="20" t="str">
        <x:v>ternary</x:v>
      </x:c>
      <x:c r="D150" s="20" t="str">
        <x:v>TBZ</x:v>
      </x:c>
      <x:c r="E150" s="23" t="n">
        <x:v>6</x:v>
      </x:c>
      <x:c r="F150" s="23" t="n">
        <x:v>30.77150610488046</x:v>
      </x:c>
      <x:c r="G150" s="23" t="n">
        <x:v>624.6151403208671</x:v>
      </x:c>
      <x:c r="H150" s="23" t="n">
        <x:v>1.1205540463954435</x:v>
      </x:c>
      <x:c r="I150" s="23" t="n">
        <x:v>7.131183350799436</x:v>
      </x:c>
      <x:c r="J150" s="23" t="n">
        <x:v>4.991394945723271</x:v>
      </x:c>
      <x:c r="K150" s="23" t="n">
        <x:f>IF(E150&gt;0,J150/E150*100,"")</x:f>
        <x:v>83.18991576205451</x:v>
      </x:c>
      <x:c r="L150" s="23" t="n">
        <x:f>IF(E150&gt;0,ABS(J150-E150),"")</x:f>
        <x:v>1.008605054276729</x:v>
      </x:c>
      <x:c r="M150" s="23" t="n">
        <x:v>0.64878910779953</x:v>
      </x:c>
      <x:c r="N150" s="20" t="n">
        <x:v>86</x:v>
      </x:c>
      <x:c r="O150" s="20" t="str">
        <x:v>yes</x:v>
      </x:c>
    </x:row>
    <x:row r="151">
      <x:c r="A151" s="20" t="str">
        <x:v>DQ3-TB6-TH6.csv</x:v>
      </x:c>
      <x:c r="B151" s="20" t="n">
        <x:v>3</x:v>
      </x:c>
      <x:c r="C151" s="20" t="str">
        <x:v>ternary</x:v>
      </x:c>
      <x:c r="D151" s="20" t="str">
        <x:v>THI</x:v>
      </x:c>
      <x:c r="E151" s="23" t="n">
        <x:v>6</x:v>
      </x:c>
      <x:c r="F151" s="23" t="n">
        <x:v>53.564559693730274</x:v>
      </x:c>
      <x:c r="G151" s="23" t="n">
        <x:v>4394.257691952154</x:v>
      </x:c>
      <x:c r="H151" s="23" t="n">
        <x:v>5.75681601544565</x:v>
      </x:c>
      <x:c r="I151" s="23" t="n">
        <x:v>9.460986445555315</x:v>
      </x:c>
      <x:c r="J151" s="23" t="n">
        <x:v>7.884762700386616</x:v>
      </x:c>
      <x:c r="K151" s="23" t="n">
        <x:f>IF(E151&gt;0,J151/E151*100,"")</x:f>
        <x:v>131.41271167311027</x:v>
      </x:c>
      <x:c r="L151" s="23" t="n">
        <x:f>IF(E151&gt;0,ABS(J151-E151),"")</x:f>
        <x:v>1.8847627003866156</x:v>
      </x:c>
      <x:c r="M151" s="23" t="n">
        <x:v>0.13660626113414764</x:v>
      </x:c>
      <x:c r="N151" s="20" t="n">
        <x:v>86</x:v>
      </x:c>
      <x:c r="O151" s="20" t="str">
        <x:v>yes</x:v>
      </x:c>
    </x:row>
    <x:row r="152">
      <x:c r="A152" s="20" t="str">
        <x:v>DQ33-TB333-TH333.csv</x:v>
      </x:c>
      <x:c r="B152" s="20" t="n">
        <x:v>3</x:v>
      </x:c>
      <x:c r="C152" s="20" t="str">
        <x:v>ternary</x:v>
      </x:c>
      <x:c r="D152" s="20" t="str">
        <x:v>DQ</x:v>
      </x:c>
      <x:c r="E152" s="23" t="n">
        <x:v>33</x:v>
      </x:c>
      <x:c r="F152" s="23" t="n">
        <x:v>2.119760410907904</x:v>
      </x:c>
      <x:c r="G152" s="23" t="n">
        <x:v>282.5847333464282</x:v>
      </x:c>
      <x:c r="H152" s="23" t="n">
        <x:v>0.37508456886093744</x:v>
      </x:c>
      <x:c r="I152" s="23" t="n">
        <x:v>37.50845688609375</x:v>
      </x:c>
      <x:c r="J152" s="23" t="n">
        <x:v>36.07300121280594</x:v>
      </x:c>
      <x:c r="K152" s="23" t="n">
        <x:f>IF(E152&gt;0,J152/E152*100,"")</x:f>
        <x:v>109.31212488729074</x:v>
      </x:c>
      <x:c r="L152" s="23" t="n">
        <x:f>IF(E152&gt;0,ABS(J152-E152),"")</x:f>
        <x:v>3.0730012128059414</x:v>
      </x:c>
      <x:c r="M152" s="23" t="n">
        <x:v>1.9830530881881714</x:v>
      </x:c>
      <x:c r="N152" s="20" t="n">
        <x:v>86</x:v>
      </x:c>
      <x:c r="O152" s="20" t="str">
        <x:v>no</x:v>
      </x:c>
    </x:row>
    <x:row r="153">
      <x:c r="A153" s="20" t="str">
        <x:v>DQ33-TB333-TH333.csv</x:v>
      </x:c>
      <x:c r="B153" s="20" t="n">
        <x:v>3</x:v>
      </x:c>
      <x:c r="C153" s="20" t="str">
        <x:v>ternary</x:v>
      </x:c>
      <x:c r="D153" s="20" t="str">
        <x:v>TBZ</x:v>
      </x:c>
      <x:c r="E153" s="23" t="n">
        <x:v>333</x:v>
      </x:c>
      <x:c r="F153" s="23" t="n">
        <x:v>1.6125934537595223</x:v>
      </x:c>
      <x:c r="G153" s="23" t="n">
        <x:v>350.7030199137542</x:v>
      </x:c>
      <x:c r="H153" s="23" t="n">
        <x:v>0.9497746980165485</x:v>
      </x:c>
      <x:c r="I153" s="23" t="n">
        <x:v>43.89927593895679</x:v>
      </x:c>
      <x:c r="J153" s="23" t="n">
        <x:v>41.40144370618654</x:v>
      </x:c>
      <x:c r="K153" s="23" t="n">
        <x:f>IF(E153&gt;0,J153/E153*100,"")</x:f>
        <x:v>12.432865977833796</x:v>
      </x:c>
      <x:c r="L153" s="23" t="n">
        <x:f>IF(E153&gt;0,ABS(J153-E153),"")</x:f>
        <x:v>291.59855629381343</x:v>
      </x:c>
      <x:c r="M153" s="23" t="n">
        <x:v>1.6393948793411255</x:v>
      </x:c>
      <x:c r="N153" s="20" t="n">
        <x:v>86</x:v>
      </x:c>
      <x:c r="O153" s="20" t="str">
        <x:v>no</x:v>
      </x:c>
    </x:row>
    <x:row r="154">
      <x:c r="A154" s="20" t="str">
        <x:v>DQ33-TB333-TH333.csv</x:v>
      </x:c>
      <x:c r="B154" s="20" t="n">
        <x:v>3</x:v>
      </x:c>
      <x:c r="C154" s="20" t="str">
        <x:v>ternary</x:v>
      </x:c>
      <x:c r="D154" s="20" t="str">
        <x:v>THI</x:v>
      </x:c>
      <x:c r="E154" s="23" t="n">
        <x:v>333</x:v>
      </x:c>
      <x:c r="F154" s="23" t="n">
        <x:v>96.26764613523255</x:v>
      </x:c>
      <x:c r="G154" s="23" t="n">
        <x:v>13174.335356250207</x:v>
      </x:c>
      <x:c r="H154" s="23" t="n">
        <x:v>100</x:v>
      </x:c>
      <x:c r="I154" s="23" t="n">
        <x:v>318.47178585882597</x:v>
      </x:c>
      <x:c r="J154" s="23" t="n">
        <x:v>323.4816551208496</x:v>
      </x:c>
      <x:c r="K154" s="23" t="n">
        <x:f>IF(E154&gt;0,J154/E154*100,"")</x:f>
        <x:v>97.14163817442932</x:v>
      </x:c>
      <x:c r="L154" s="23" t="n">
        <x:f>IF(E154&gt;0,ABS(J154-E154),"")</x:f>
        <x:v>9.51834487915039</x:v>
      </x:c>
      <x:c r="M154" s="23" t="n">
        <x:v>0.5098496675491333</x:v>
      </x:c>
      <x:c r="N154" s="20" t="n">
        <x:v>86</x:v>
      </x:c>
      <x:c r="O154" s="20" t="str">
        <x:v>no</x:v>
      </x:c>
    </x:row>
    <x:row r="155">
      <x:c r="A155" s="20" t="str">
        <x:v>DQ333-TB333-TH33.csv</x:v>
      </x:c>
      <x:c r="B155" s="20" t="n">
        <x:v>3</x:v>
      </x:c>
      <x:c r="C155" s="20" t="str">
        <x:v>ternary</x:v>
      </x:c>
      <x:c r="D155" s="20" t="str">
        <x:v>DQ</x:v>
      </x:c>
      <x:c r="E155" s="23" t="n">
        <x:v>333</x:v>
      </x:c>
      <x:c r="F155" s="23" t="n">
        <x:v>55.668618483424396</x:v>
      </x:c>
      <x:c r="G155" s="23" t="n">
        <x:v>3314.065729743686</x:v>
      </x:c>
      <x:c r="H155" s="23" t="n">
        <x:v>1.696257248108675</x:v>
      </x:c>
      <x:c r="I155" s="23" t="n">
        <x:v>15.958225547254719</x:v>
      </x:c>
      <x:c r="J155" s="23" t="n">
        <x:v>11.288736315302634</x:v>
      </x:c>
      <x:c r="K155" s="23" t="n">
        <x:f>IF(E155&gt;0,J155/E155*100,"")</x:f>
        <x:v>3.3900109054962866</x:v>
      </x:c>
      <x:c r="L155" s="23" t="n">
        <x:f>IF(E155&gt;0,ABS(J155-E155),"")</x:f>
        <x:v>321.71126368469737</x:v>
      </x:c>
      <x:c r="M155" s="23" t="n">
        <x:v>0.8231536149978638</x:v>
      </x:c>
      <x:c r="N155" s="20" t="n">
        <x:v>86</x:v>
      </x:c>
      <x:c r="O155" s="20" t="str">
        <x:v>no</x:v>
      </x:c>
    </x:row>
    <x:row r="156">
      <x:c r="A156" s="20" t="str">
        <x:v>DQ333-TB333-TH33.csv</x:v>
      </x:c>
      <x:c r="B156" s="20" t="n">
        <x:v>3</x:v>
      </x:c>
      <x:c r="C156" s="20" t="str">
        <x:v>ternary</x:v>
      </x:c>
      <x:c r="D156" s="20" t="str">
        <x:v>TBZ</x:v>
      </x:c>
      <x:c r="E156" s="23" t="n">
        <x:v>333</x:v>
      </x:c>
      <x:c r="F156" s="23" t="n">
        <x:v>32.150518093334625</x:v>
      </x:c>
      <x:c r="G156" s="23" t="n">
        <x:v>756.7798610286363</x:v>
      </x:c>
      <x:c r="H156" s="23" t="n">
        <x:v>1.2136200903440262</x:v>
      </x:c>
      <x:c r="I156" s="23" t="n">
        <x:v>10.043941640651507</x:v>
      </x:c>
      <x:c r="J156" s="23" t="n">
        <x:v>6.778541626776123</x:v>
      </x:c>
      <x:c r="K156" s="23" t="n">
        <x:f>IF(E156&gt;0,J156/E156*100,"")</x:f>
        <x:v>2.0355980861189558</x:v>
      </x:c>
      <x:c r="L156" s="23" t="n">
        <x:f>IF(E156&gt;0,ABS(J156-E156),"")</x:f>
        <x:v>326.22145837322387</x:v>
      </x:c>
      <x:c r="M156" s="23" t="n">
        <x:v>0.7470535039901733</x:v>
      </x:c>
      <x:c r="N156" s="20" t="n">
        <x:v>86</x:v>
      </x:c>
      <x:c r="O156" s="20" t="str">
        <x:v>no</x:v>
      </x:c>
    </x:row>
    <x:row r="157">
      <x:c r="A157" s="20" t="str">
        <x:v>DQ333-TB333-TH33.csv</x:v>
      </x:c>
      <x:c r="B157" s="20" t="n">
        <x:v>3</x:v>
      </x:c>
      <x:c r="C157" s="20" t="str">
        <x:v>ternary</x:v>
      </x:c>
      <x:c r="D157" s="20" t="str">
        <x:v>THI</x:v>
      </x:c>
      <x:c r="E157" s="23" t="n">
        <x:v>33</x:v>
      </x:c>
      <x:c r="F157" s="23" t="n">
        <x:v>12.180863423140975</x:v>
      </x:c>
      <x:c r="G157" s="23" t="n">
        <x:v>5702.078545887845</x:v>
      </x:c>
      <x:c r="H157" s="23" t="n">
        <x:v>11.124760137025099</x:v>
      </x:c>
      <x:c r="I157" s="23" t="n">
        <x:v>11.01636112484769</x:v>
      </x:c>
      <x:c r="J157" s="23" t="n">
        <x:v>11.890671146453201</x:v>
      </x:c>
      <x:c r="K157" s="23" t="n">
        <x:f>IF(E157&gt;0,J157/E157*100,"")</x:f>
        <x:v>36.03233680743394</x:v>
      </x:c>
      <x:c r="L157" s="23" t="n">
        <x:f>IF(E157&gt;0,ABS(J157-E157),"")</x:f>
        <x:v>21.1093288535468</x:v>
      </x:c>
      <x:c r="M157" s="23" t="n">
        <x:v>0.028915707021951675</x:v>
      </x:c>
      <x:c r="N157" s="20" t="n">
        <x:v>86</x:v>
      </x:c>
      <x:c r="O157" s="20" t="str">
        <x:v>no</x:v>
      </x:c>
    </x:row>
    <x:row r="158">
      <x:c r="A158" s="20" t="str">
        <x:v>DQ50-TB500-TH0.csv</x:v>
      </x:c>
      <x:c r="B158" s="20" t="n">
        <x:v>3</x:v>
      </x:c>
      <x:c r="C158" s="20" t="str">
        <x:v>binary</x:v>
      </x:c>
      <x:c r="D158" s="20" t="str">
        <x:v>DQ</x:v>
      </x:c>
      <x:c r="E158" s="23" t="n">
        <x:v>50</x:v>
      </x:c>
      <x:c r="F158" s="23" t="n">
        <x:v>20.875769776207783</x:v>
      </x:c>
      <x:c r="G158" s="23" t="n">
        <x:v>10440.048252809916</x:v>
      </x:c>
      <x:c r="H158" s="23" t="n">
        <x:v>58.88795580089478</x:v>
      </x:c>
      <x:c r="I158" s="23" t="n">
        <x:v>78.5637407670551</x:v>
      </x:c>
      <x:c r="J158" s="23" t="n">
        <x:v>62.69985323699153</x:v>
      </x:c>
      <x:c r="K158" s="23" t="n">
        <x:f>IF(E158&gt;0,J158/E158*100,"")</x:f>
        <x:v>125.39970647398306</x:v>
      </x:c>
      <x:c r="L158" s="23" t="n">
        <x:f>IF(E158&gt;0,ABS(J158-E158),"")</x:f>
        <x:v>12.69985323699153</x:v>
      </x:c>
      <x:c r="M158" s="23" t="n">
        <x:v>0.027240067720413208</x:v>
      </x:c>
      <x:c r="N158" s="20" t="n">
        <x:v>86</x:v>
      </x:c>
      <x:c r="O158" s="20" t="str">
        <x:v>no</x:v>
      </x:c>
    </x:row>
    <x:row r="159">
      <x:c r="A159" s="20" t="str">
        <x:v>DQ50-TB500-TH0.csv</x:v>
      </x:c>
      <x:c r="B159" s="20" t="n">
        <x:v>3</x:v>
      </x:c>
      <x:c r="C159" s="20" t="str">
        <x:v>binary</x:v>
      </x:c>
      <x:c r="D159" s="20" t="str">
        <x:v>TBZ</x:v>
      </x:c>
      <x:c r="E159" s="23" t="n">
        <x:v>500</x:v>
      </x:c>
      <x:c r="F159" s="23" t="n">
        <x:v>78.60894198881851</x:v>
      </x:c>
      <x:c r="G159" s="23" t="n">
        <x:v>7083.580466770064</x:v>
      </x:c>
      <x:c r="H159" s="23" t="n">
        <x:v>55.30897231798881</x:v>
      </x:c>
      <x:c r="I159" s="23" t="n">
        <x:v>397.96220923169346</x:v>
      </x:c>
      <x:c r="J159" s="23" t="n">
        <x:v>448.8533963998067</x:v>
      </x:c>
      <x:c r="K159" s="23" t="n">
        <x:f>IF(E159&gt;0,J159/E159*100,"")</x:f>
        <x:v>89.77067927996134</x:v>
      </x:c>
      <x:c r="L159" s="23" t="n">
        <x:f>IF(E159&gt;0,ABS(J159-E159),"")</x:f>
        <x:v>51.146603600193316</x:v>
      </x:c>
      <x:c r="M159" s="23" t="n">
        <x:v>0.909308910369873</x:v>
      </x:c>
      <x:c r="N159" s="20" t="n">
        <x:v>86</x:v>
      </x:c>
      <x:c r="O159" s="20" t="str">
        <x:v>no</x:v>
      </x:c>
    </x:row>
    <x:row r="160">
      <x:c r="A160" s="20" t="str">
        <x:v>DQ50-TB500-TH0.csv</x:v>
      </x:c>
      <x:c r="B160" s="20" t="n">
        <x:v>3</x:v>
      </x:c>
      <x:c r="C160" s="20" t="str">
        <x:v>binary</x:v>
      </x:c>
      <x:c r="D160" s="20" t="str">
        <x:v>THI</x:v>
      </x:c>
      <x:c r="E160" s="23" t="n">
        <x:v>0</x:v>
      </x:c>
      <x:c r="F160" s="23" t="n">
        <x:v>0.5152882348737018</x:v>
      </x:c>
      <x:c r="G160" s="23" t="n">
        <x:v>771.3792236599679</x:v>
      </x:c>
      <x:c r="H160" s="23" t="n">
        <x:v>0.9281440231849558</x:v>
      </x:c>
      <x:c r="I160" s="23" t="n">
        <x:v>3.9057816680995217</x:v>
      </x:c>
      <x:c r="J160" s="23" t="n">
        <x:v>3.891580721898538</x:v>
      </x:c>
      <x:c r="K160" s="23" t="str">
        <x:f>IF(E160&gt;0,J160/E160*100,"")</x:f>
      </x:c>
      <x:c r="L160" s="23" t="str">
        <x:f>IF(E160&gt;0,ABS(J160-E160),"")</x:f>
      </x:c>
      <x:c r="M160" s="23" t="n">
        <x:v>0.6225106716156006</x:v>
      </x:c>
      <x:c r="N160" s="20" t="n">
        <x:v>86</x:v>
      </x:c>
      <x:c r="O160" s="20" t="str">
        <x:v>no</x:v>
      </x:c>
    </x:row>
    <x:row r="161">
      <x:c r="A161" s="20" t="str">
        <x:v>DQ500-TB50-TH0.csv</x:v>
      </x:c>
      <x:c r="B161" s="20" t="n">
        <x:v>3</x:v>
      </x:c>
      <x:c r="C161" s="20" t="str">
        <x:v>binary</x:v>
      </x:c>
      <x:c r="D161" s="20" t="str">
        <x:v>DQ</x:v>
      </x:c>
      <x:c r="E161" s="23" t="n">
        <x:v>500</x:v>
      </x:c>
      <x:c r="F161" s="23" t="n">
        <x:v>37.2391579195947</x:v>
      </x:c>
      <x:c r="G161" s="23" t="n">
        <x:v>4448.478634864926</x:v>
      </x:c>
      <x:c r="H161" s="23" t="n">
        <x:v>2.9835645875361094</x:v>
      </x:c>
      <x:c r="I161" s="23" t="n">
        <x:v>34.87257302100943</x:v>
      </x:c>
      <x:c r="J161" s="23" t="n">
        <x:v>28.859850535864496</x:v>
      </x:c>
      <x:c r="K161" s="23" t="n">
        <x:f>IF(E161&gt;0,J161/E161*100,"")</x:f>
        <x:v>5.771970107172899</x:v>
      </x:c>
      <x:c r="L161" s="23" t="n">
        <x:f>IF(E161&gt;0,ABS(J161-E161),"")</x:f>
        <x:v>471.1401494641355</x:v>
      </x:c>
      <x:c r="M161" s="23" t="n">
        <x:v>0.9855586290359497</x:v>
      </x:c>
      <x:c r="N161" s="20" t="n">
        <x:v>86</x:v>
      </x:c>
      <x:c r="O161" s="20" t="str">
        <x:v>no</x:v>
      </x:c>
    </x:row>
    <x:row r="162">
      <x:c r="A162" s="20" t="str">
        <x:v>DQ500-TB50-TH0.csv</x:v>
      </x:c>
      <x:c r="B162" s="20" t="n">
        <x:v>3</x:v>
      </x:c>
      <x:c r="C162" s="20" t="str">
        <x:v>binary</x:v>
      </x:c>
      <x:c r="D162" s="20" t="str">
        <x:v>TBZ</x:v>
      </x:c>
      <x:c r="E162" s="23" t="n">
        <x:v>50</x:v>
      </x:c>
      <x:c r="F162" s="23" t="n">
        <x:v>60.52599154271885</x:v>
      </x:c>
      <x:c r="G162" s="23" t="n">
        <x:v>2765.267368378526</x:v>
      </x:c>
      <x:c r="H162" s="23" t="n">
        <x:v>4.079931325347762</x:v>
      </x:c>
      <x:c r="I162" s="23" t="n">
        <x:v>56.51254774595924</x:v>
      </x:c>
      <x:c r="J162" s="23" t="n">
        <x:v>48.13169273179298</x:v>
      </x:c>
      <x:c r="K162" s="23" t="n">
        <x:f>IF(E162&gt;0,J162/E162*100,"")</x:f>
        <x:v>96.26338546358596</x:v>
      </x:c>
      <x:c r="L162" s="23" t="n">
        <x:f>IF(E162&gt;0,ABS(J162-E162),"")</x:f>
        <x:v>1.868307268207019</x:v>
      </x:c>
      <x:c r="M162" s="23" t="n">
        <x:v>1.0717782974243164</x:v>
      </x:c>
      <x:c r="N162" s="20" t="n">
        <x:v>86</x:v>
      </x:c>
      <x:c r="O162" s="20" t="str">
        <x:v>no</x:v>
      </x:c>
    </x:row>
    <x:row r="163">
      <x:c r="A163" s="20" t="str">
        <x:v>DQ500-TB50-TH0.csv</x:v>
      </x:c>
      <x:c r="B163" s="20" t="n">
        <x:v>3</x:v>
      </x:c>
      <x:c r="C163" s="20" t="str">
        <x:v>binary</x:v>
      </x:c>
      <x:c r="D163" s="20" t="str">
        <x:v>THI</x:v>
      </x:c>
      <x:c r="E163" s="23" t="n">
        <x:v>0</x:v>
      </x:c>
      <x:c r="F163" s="23" t="n">
        <x:v>2.2348505375864494</x:v>
      </x:c>
      <x:c r="G163" s="23" t="n">
        <x:v>448.61016153197215</x:v>
      </x:c>
      <x:c r="H163" s="23" t="n">
        <x:v>0.7888675440361752</x:v>
      </x:c>
      <x:c r="I163" s="23" t="n">
        <x:v>2.0878406518686905</x:v>
      </x:c>
      <x:c r="J163" s="23" t="n">
        <x:v>1.6030159525332055</x:v>
      </x:c>
      <x:c r="K163" s="23" t="str">
        <x:f>IF(E163&gt;0,J163/E163*100,"")</x:f>
      </x:c>
      <x:c r="L163" s="23" t="str">
        <x:f>IF(E163&gt;0,ABS(J163-E163),"")</x:f>
      </x:c>
      <x:c r="M163" s="23" t="n">
        <x:v>0.3079337775707245</x:v>
      </x:c>
      <x:c r="N163" s="20" t="n">
        <x:v>86</x:v>
      </x:c>
      <x:c r="O163" s="20" t="str">
        <x:v>no</x:v>
      </x:c>
    </x:row>
    <x:row r="164">
      <x:c r="A164" s="20" t="str">
        <x:v>DQ6-TB3-TH6.csv</x:v>
      </x:c>
      <x:c r="B164" s="20" t="n">
        <x:v>3</x:v>
      </x:c>
      <x:c r="C164" s="20" t="str">
        <x:v>ternary</x:v>
      </x:c>
      <x:c r="D164" s="20" t="str">
        <x:v>DQ</x:v>
      </x:c>
      <x:c r="E164" s="23" t="n">
        <x:v>6</x:v>
      </x:c>
      <x:c r="F164" s="23" t="n">
        <x:v>27.016117354897972</x:v>
      </x:c>
      <x:c r="G164" s="23" t="n">
        <x:v>3741.8553106238724</x:v>
      </x:c>
      <x:c r="H164" s="23" t="n">
        <x:v>2.098812591071811</x:v>
      </x:c>
      <x:c r="I164" s="23" t="n">
        <x:v>7.163433731337392</x:v>
      </x:c>
      <x:c r="J164" s="23" t="n">
        <x:v>5.371838225405674</x:v>
      </x:c>
      <x:c r="K164" s="23" t="n">
        <x:f>IF(E164&gt;0,J164/E164*100,"")</x:f>
        <x:v>89.53063709009457</x:v>
      </x:c>
      <x:c r="L164" s="23" t="n">
        <x:f>IF(E164&gt;0,ABS(J164-E164),"")</x:f>
        <x:v>0.628161774594326</x:v>
      </x:c>
      <x:c r="M164" s="23" t="n">
        <x:v>0.40814927220344543</x:v>
      </x:c>
      <x:c r="N164" s="20" t="n">
        <x:v>86</x:v>
      </x:c>
      <x:c r="O164" s="20" t="str">
        <x:v>yes</x:v>
      </x:c>
    </x:row>
    <x:row r="165">
      <x:c r="A165" s="20" t="str">
        <x:v>DQ6-TB3-TH6.csv</x:v>
      </x:c>
      <x:c r="B165" s="20" t="n">
        <x:v>3</x:v>
      </x:c>
      <x:c r="C165" s="20" t="str">
        <x:v>ternary</x:v>
      </x:c>
      <x:c r="D165" s="20" t="str">
        <x:v>TBZ</x:v>
      </x:c>
      <x:c r="E165" s="23" t="n">
        <x:v>3</x:v>
      </x:c>
      <x:c r="F165" s="23" t="n">
        <x:v>32.46875481507988</x:v>
      </x:c>
      <x:c r="G165" s="23" t="n">
        <x:v>759.9542130058283</x:v>
      </x:c>
      <x:c r="H165" s="23" t="n">
        <x:v>1.2159479498376362</x:v>
      </x:c>
      <x:c r="I165" s="23" t="n">
        <x:v>7.3387742988382</x:v>
      </x:c>
      <x:c r="J165" s="23" t="n">
        <x:v>4.204807953529253</x:v>
      </x:c>
      <x:c r="K165" s="23" t="n">
        <x:f>IF(E165&gt;0,J165/E165*100,"")</x:f>
        <x:v>140.16026511764176</x:v>
      </x:c>
      <x:c r="L165" s="23" t="n">
        <x:f>IF(E165&gt;0,ABS(J165-E165),"")</x:f>
        <x:v>1.2048079535292526</x:v>
      </x:c>
      <x:c r="M165" s="23" t="n">
        <x:v>0.5388311743736267</x:v>
      </x:c>
      <x:c r="N165" s="20" t="n">
        <x:v>86</x:v>
      </x:c>
      <x:c r="O165" s="20" t="str">
        <x:v>yes</x:v>
      </x:c>
    </x:row>
    <x:row r="166">
      <x:c r="A166" s="20" t="str">
        <x:v>DQ6-TB3-TH6.csv</x:v>
      </x:c>
      <x:c r="B166" s="20" t="n">
        <x:v>3</x:v>
      </x:c>
      <x:c r="C166" s="20" t="str">
        <x:v>ternary</x:v>
      </x:c>
      <x:c r="D166" s="20" t="str">
        <x:v>THI</x:v>
      </x:c>
      <x:c r="E166" s="23" t="n">
        <x:v>6</x:v>
      </x:c>
      <x:c r="F166" s="23" t="n">
        <x:v>40.515127829922136</x:v>
      </x:c>
      <x:c r="G166" s="23" t="n">
        <x:v>2555.76068850176</x:v>
      </x:c>
      <x:c r="H166" s="23" t="n">
        <x:v>2.2802344812239337</x:v>
      </x:c>
      <x:c r="I166" s="23" t="n">
        <x:v>5.110179377831831</x:v>
      </x:c>
      <x:c r="J166" s="23" t="n">
        <x:v>4.232797628281709</x:v>
      </x:c>
      <x:c r="K166" s="23" t="n">
        <x:f>IF(E166&gt;0,J166/E166*100,"")</x:f>
        <x:v>70.54662713802848</x:v>
      </x:c>
      <x:c r="L166" s="23" t="n">
        <x:f>IF(E166&gt;0,ABS(J166-E166),"")</x:f>
        <x:v>1.767202371718291</x:v>
      </x:c>
      <x:c r="M166" s="23" t="n">
        <x:v>0.2686479985713959</x:v>
      </x:c>
      <x:c r="N166" s="20" t="n">
        <x:v>86</x:v>
      </x:c>
      <x:c r="O166" s="20" t="str">
        <x:v>yes</x:v>
      </x:c>
    </x:row>
    <x:row r="167">
      <x:c r="A167" s="20" t="str">
        <x:v>DQ0-TB50-TH500.csv</x:v>
      </x:c>
      <x:c r="B167" s="20" t="n">
        <x:v>4</x:v>
      </x:c>
      <x:c r="C167" s="20" t="str">
        <x:v>binary</x:v>
      </x:c>
      <x:c r="D167" s="20" t="str">
        <x:v>DQ</x:v>
      </x:c>
      <x:c r="E167" s="23" t="n">
        <x:v>0</x:v>
      </x:c>
      <x:c r="F167" s="23" t="n">
        <x:v>19.79285760026531</x:v>
      </x:c>
      <x:c r="G167" s="23" t="n">
        <x:v>352.22881174770356</x:v>
      </x:c>
      <x:c r="H167" s="23" t="n">
        <x:v>0.3883159628956856</x:v>
      </x:c>
      <x:c r="I167" s="23" t="n">
        <x:v>38.83159628956856</x:v>
      </x:c>
      <x:c r="J167" s="23" t="n">
        <x:v>38.83159628956856</x:v>
      </x:c>
      <x:c r="K167" s="23" t="str">
        <x:f>IF(E167&gt;0,J167/E167*100,"")</x:f>
      </x:c>
      <x:c r="L167" s="23" t="str">
        <x:f>IF(E167&gt;0,ABS(J167-E167),"")</x:f>
      </x:c>
      <x:c r="M167" s="23" t="n">
        <x:v>2.025003433227539</x:v>
      </x:c>
      <x:c r="N167" s="20" t="n">
        <x:v>270</x:v>
      </x:c>
      <x:c r="O167" s="20" t="str">
        <x:v>no</x:v>
      </x:c>
    </x:row>
    <x:row r="168">
      <x:c r="A168" s="20" t="str">
        <x:v>DQ0-TB50-TH500.csv</x:v>
      </x:c>
      <x:c r="B168" s="20" t="n">
        <x:v>4</x:v>
      </x:c>
      <x:c r="C168" s="20" t="str">
        <x:v>binary</x:v>
      </x:c>
      <x:c r="D168" s="20" t="str">
        <x:v>TBZ</x:v>
      </x:c>
      <x:c r="E168" s="23" t="n">
        <x:v>50</x:v>
      </x:c>
      <x:c r="F168" s="23" t="n">
        <x:v>9.957948974975201</x:v>
      </x:c>
      <x:c r="G168" s="23" t="n">
        <x:v>316.5474828926739</x:v>
      </x:c>
      <x:c r="H168" s="23" t="n">
        <x:v>0.9303919731085901</x:v>
      </x:c>
      <x:c r="I168" s="23" t="n">
        <x:v>38.56255031479925</x:v>
      </x:c>
      <x:c r="J168" s="23" t="n">
        <x:v>33.49532839506376</x:v>
      </x:c>
      <x:c r="K168" s="23" t="n">
        <x:f>IF(E168&gt;0,J168/E168*100,"")</x:f>
        <x:v>66.99065679012752</x:v>
      </x:c>
      <x:c r="L168" s="23" t="n">
        <x:f>IF(E168&gt;0,ABS(J168-E168),"")</x:f>
        <x:v>16.50467160493624</x:v>
      </x:c>
      <x:c r="M168" s="23" t="n">
        <x:v>1.5563182830810547</x:v>
      </x:c>
      <x:c r="N168" s="20" t="n">
        <x:v>270</x:v>
      </x:c>
      <x:c r="O168" s="20" t="str">
        <x:v>no</x:v>
      </x:c>
    </x:row>
    <x:row r="169">
      <x:c r="A169" s="20" t="str">
        <x:v>DQ0-TB50-TH500.csv</x:v>
      </x:c>
      <x:c r="B169" s="20" t="n">
        <x:v>4</x:v>
      </x:c>
      <x:c r="C169" s="20" t="str">
        <x:v>binary</x:v>
      </x:c>
      <x:c r="D169" s="20" t="str">
        <x:v>THI</x:v>
      </x:c>
      <x:c r="E169" s="23" t="n">
        <x:v>500</x:v>
      </x:c>
      <x:c r="F169" s="23" t="n">
        <x:v>70.24919342465948</x:v>
      </x:c>
      <x:c r="G169" s="23" t="n">
        <x:v>15560.148034915497</x:v>
      </x:c>
      <x:c r="H169" s="23" t="n">
        <x:v>100</x:v>
      </x:c>
      <x:c r="I169" s="23" t="n">
        <x:v>253.26057863955137</x:v>
      </x:c>
      <x:c r="J169" s="23" t="n">
        <x:v>223.4325647354126</x:v>
      </x:c>
      <x:c r="K169" s="23" t="n">
        <x:f>IF(E169&gt;0,J169/E169*100,"")</x:f>
        <x:v>44.68651294708252</x:v>
      </x:c>
      <x:c r="L169" s="23" t="n">
        <x:f>IF(E169&gt;0,ABS(J169-E169),"")</x:f>
        <x:v>276.5674352645874</x:v>
      </x:c>
      <x:c r="M169" s="23" t="n">
        <x:v>0.3491464853286743</x:v>
      </x:c>
      <x:c r="N169" s="20" t="n">
        <x:v>270</x:v>
      </x:c>
      <x:c r="O169" s="20" t="str">
        <x:v>no</x:v>
      </x:c>
    </x:row>
    <x:row r="170">
      <x:c r="A170" s="20" t="str">
        <x:v>DQ0-TB500-TH50.csv</x:v>
      </x:c>
      <x:c r="B170" s="20" t="n">
        <x:v>4</x:v>
      </x:c>
      <x:c r="C170" s="20" t="str">
        <x:v>binary</x:v>
      </x:c>
      <x:c r="D170" s="20" t="str">
        <x:v>DQ</x:v>
      </x:c>
      <x:c r="E170" s="23" t="n">
        <x:v>0</x:v>
      </x:c>
      <x:c r="F170" s="23" t="n">
        <x:v>6.853803062973481</x:v>
      </x:c>
      <x:c r="G170" s="23" t="n">
        <x:v>7193.447290789515</x:v>
      </x:c>
      <x:c r="H170" s="23" t="n">
        <x:v>11.699252716969935</x:v>
      </x:c>
      <x:c r="I170" s="23" t="n">
        <x:v>7.894027433431524</x:v>
      </x:c>
      <x:c r="J170" s="23" t="n">
        <x:v>5.173144625252786</x:v>
      </x:c>
      <x:c r="K170" s="23" t="str">
        <x:f>IF(E170&gt;0,J170/E170*100,"")</x:f>
      </x:c>
      <x:c r="L170" s="23" t="str">
        <x:f>IF(E170&gt;0,ABS(J170-E170),"")</x:f>
      </x:c>
      <x:c r="M170" s="23" t="n">
        <x:v>-0.3544034957885742</x:v>
      </x:c>
      <x:c r="N170" s="20" t="n">
        <x:v>270</x:v>
      </x:c>
      <x:c r="O170" s="20" t="str">
        <x:v>no</x:v>
      </x:c>
    </x:row>
    <x:row r="171">
      <x:c r="A171" s="20" t="str">
        <x:v>DQ0-TB500-TH50.csv</x:v>
      </x:c>
      <x:c r="B171" s="20" t="n">
        <x:v>4</x:v>
      </x:c>
      <x:c r="C171" s="20" t="str">
        <x:v>binary</x:v>
      </x:c>
      <x:c r="D171" s="20" t="str">
        <x:v>TBZ</x:v>
      </x:c>
      <x:c r="E171" s="23" t="n">
        <x:v>500</x:v>
      </x:c>
      <x:c r="F171" s="23" t="n">
        <x:v>88.74170132348723</x:v>
      </x:c>
      <x:c r="G171" s="23" t="n">
        <x:v>5130.963507214878</x:v>
      </x:c>
      <x:c r="H171" s="23" t="n">
        <x:v>17.0166165161372</x:v>
      </x:c>
      <x:c r="I171" s="23" t="n">
        <x:v>100.89907213077767</x:v>
      </x:c>
      <x:c r="J171" s="23" t="n">
        <x:v>42.367788830927424</x:v>
      </x:c>
      <x:c r="K171" s="23" t="n">
        <x:f>IF(E171&gt;0,J171/E171*100,"")</x:f>
        <x:v>8.473557766185484</x:v>
      </x:c>
      <x:c r="L171" s="23" t="n">
        <x:f>IF(E171&gt;0,ABS(J171-E171),"")</x:f>
        <x:v>457.63221116907255</x:v>
      </x:c>
      <x:c r="M171" s="23" t="n">
        <x:v>0.39616259932518005</x:v>
      </x:c>
      <x:c r="N171" s="20" t="n">
        <x:v>270</x:v>
      </x:c>
      <x:c r="O171" s="20" t="str">
        <x:v>no</x:v>
      </x:c>
    </x:row>
    <x:row r="172">
      <x:c r="A172" s="20" t="str">
        <x:v>DQ0-TB500-TH50.csv</x:v>
      </x:c>
      <x:c r="B172" s="20" t="n">
        <x:v>4</x:v>
      </x:c>
      <x:c r="C172" s="20" t="str">
        <x:v>binary</x:v>
      </x:c>
      <x:c r="D172" s="20" t="str">
        <x:v>THI</x:v>
      </x:c>
      <x:c r="E172" s="23" t="n">
        <x:v>50</x:v>
      </x:c>
      <x:c r="F172" s="23" t="n">
        <x:v>4.4044956134392885</x:v>
      </x:c>
      <x:c r="G172" s="23" t="n">
        <x:v>4524.028835884693</x:v>
      </x:c>
      <x:c r="H172" s="23" t="n">
        <x:v>6.145709383817468</x:v>
      </x:c>
      <x:c r="I172" s="23" t="n">
        <x:v>7.161014434271553</x:v>
      </x:c>
      <x:c r="J172" s="23" t="n">
        <x:v>6.295571623536714</x:v>
      </x:c>
      <x:c r="K172" s="23" t="n">
        <x:f>IF(E172&gt;0,J172/E172*100,"")</x:f>
        <x:v>12.591143247073427</x:v>
      </x:c>
      <x:c r="L172" s="23" t="n">
        <x:f>IF(E172&gt;0,ABS(J172-E172),"")</x:f>
        <x:v>43.704428376463284</x:v>
      </x:c>
      <x:c r="M172" s="23" t="n">
        <x:v>0.010463153943419456</x:v>
      </x:c>
      <x:c r="N172" s="20" t="n">
        <x:v>270</x:v>
      </x:c>
      <x:c r="O172" s="20" t="str">
        <x:v>no</x:v>
      </x:c>
    </x:row>
    <x:row r="173">
      <x:c r="A173" s="20" t="str">
        <x:v>DQ12-TB12-TH12.csv</x:v>
      </x:c>
      <x:c r="B173" s="20" t="n">
        <x:v>4</x:v>
      </x:c>
      <x:c r="C173" s="20" t="str">
        <x:v>ternary</x:v>
      </x:c>
      <x:c r="D173" s="20" t="str">
        <x:v>DQ</x:v>
      </x:c>
      <x:c r="E173" s="23" t="n">
        <x:v>12</x:v>
      </x:c>
      <x:c r="F173" s="23" t="n">
        <x:v>21.932944067750924</x:v>
      </x:c>
      <x:c r="G173" s="23" t="n">
        <x:v>4478.311122950194</x:v>
      </x:c>
      <x:c r="H173" s="23" t="n">
        <x:v>3.0282016931211895</x:v>
      </x:c>
      <x:c r="I173" s="23" t="n">
        <x:v>6.190290315304688</x:v>
      </x:c>
      <x:c r="J173" s="23" t="n">
        <x:v>5.494344476470992</x:v>
      </x:c>
      <x:c r="K173" s="23" t="n">
        <x:f>IF(E173&gt;0,J173/E173*100,"")</x:f>
        <x:v>45.78620397059161</x:v>
      </x:c>
      <x:c r="L173" s="23" t="n">
        <x:f>IF(E173&gt;0,ABS(J173-E173),"")</x:f>
        <x:v>6.505655523529008</x:v>
      </x:c>
      <x:c r="M173" s="23" t="n">
        <x:v>0.25873109698295593</x:v>
      </x:c>
      <x:c r="N173" s="20" t="n">
        <x:v>270</x:v>
      </x:c>
      <x:c r="O173" s="20" t="str">
        <x:v>yes</x:v>
      </x:c>
    </x:row>
    <x:row r="174">
      <x:c r="A174" s="20" t="str">
        <x:v>DQ12-TB12-TH12.csv</x:v>
      </x:c>
      <x:c r="B174" s="20" t="n">
        <x:v>4</x:v>
      </x:c>
      <x:c r="C174" s="20" t="str">
        <x:v>ternary</x:v>
      </x:c>
      <x:c r="D174" s="20" t="str">
        <x:v>TBZ</x:v>
      </x:c>
      <x:c r="E174" s="23" t="n">
        <x:v>12</x:v>
      </x:c>
      <x:c r="F174" s="23" t="n">
        <x:v>58.09990068686861</x:v>
      </x:c>
      <x:c r="G174" s="23" t="n">
        <x:v>2360.369256396135</x:v>
      </x:c>
      <x:c r="H174" s="23" t="n">
        <x:v>3.1952123188050496</x:v>
      </x:c>
      <x:c r="I174" s="23" t="n">
        <x:v>21.105278632333075</x:v>
      </x:c>
      <x:c r="J174" s="23" t="n">
        <x:v>14.363230140174911</x:v>
      </x:c>
      <x:c r="K174" s="23" t="n">
        <x:f>IF(E174&gt;0,J174/E174*100,"")</x:f>
        <x:v>119.6935845014576</x:v>
      </x:c>
      <x:c r="L174" s="23" t="n">
        <x:f>IF(E174&gt;0,ABS(J174-E174),"")</x:f>
        <x:v>2.3632301401749114</x:v>
      </x:c>
      <x:c r="M174" s="23" t="n">
        <x:v>0.6527523994445801</x:v>
      </x:c>
      <x:c r="N174" s="20" t="n">
        <x:v>270</x:v>
      </x:c>
      <x:c r="O174" s="20" t="str">
        <x:v>yes</x:v>
      </x:c>
    </x:row>
    <x:row r="175">
      <x:c r="A175" s="20" t="str">
        <x:v>DQ12-TB12-TH12.csv</x:v>
      </x:c>
      <x:c r="B175" s="20" t="n">
        <x:v>4</x:v>
      </x:c>
      <x:c r="C175" s="20" t="str">
        <x:v>ternary</x:v>
      </x:c>
      <x:c r="D175" s="20" t="str">
        <x:v>THI</x:v>
      </x:c>
      <x:c r="E175" s="23" t="n">
        <x:v>12</x:v>
      </x:c>
      <x:c r="F175" s="23" t="n">
        <x:v>19.96715524528047</x:v>
      </x:c>
      <x:c r="G175" s="23" t="n">
        <x:v>5791.175824533815</x:v>
      </x:c>
      <x:c r="H175" s="23" t="n">
        <x:v>11.63542411282921</x:v>
      </x:c>
      <x:c r="I175" s="23" t="n">
        <x:v>10.706846112592405</x:v>
      </x:c>
      <x:c r="J175" s="23" t="n">
        <x:v>12.781269422379546</x:v>
      </x:c>
      <x:c r="K175" s="23" t="n">
        <x:f>IF(E175&gt;0,J175/E175*100,"")</x:f>
        <x:v>106.51057851982955</x:v>
      </x:c>
      <x:c r="L175" s="23" t="n">
        <x:f>IF(E175&gt;0,ABS(J175-E175),"")</x:f>
        <x:v>0.7812694223795464</x:v>
      </x:c>
      <x:c r="M175" s="23" t="n">
        <x:v>0.04079175740480423</x:v>
      </x:c>
      <x:c r="N175" s="20" t="n">
        <x:v>270</x:v>
      </x:c>
      <x:c r="O175" s="20" t="str">
        <x:v>yes</x:v>
      </x:c>
    </x:row>
    <x:row r="176">
      <x:c r="A176" s="20" t="str">
        <x:v>DQ12-TB12-TH24.csv</x:v>
      </x:c>
      <x:c r="B176" s="20" t="n">
        <x:v>4</x:v>
      </x:c>
      <x:c r="C176" s="20" t="str">
        <x:v>ternary</x:v>
      </x:c>
      <x:c r="D176" s="20" t="str">
        <x:v>DQ</x:v>
      </x:c>
      <x:c r="E176" s="23" t="n">
        <x:v>12</x:v>
      </x:c>
      <x:c r="F176" s="23" t="n">
        <x:v>23.94520595595907</x:v>
      </x:c>
      <x:c r="G176" s="23" t="n">
        <x:v>3099.0232993436307</x:v>
      </x:c>
      <x:c r="H176" s="23" t="n">
        <x:v>1.524062021533994</x:v>
      </x:c>
      <x:c r="I176" s="23" t="n">
        <x:v>10.159822462562563</x:v>
      </x:c>
      <x:c r="J176" s="23" t="n">
        <x:v>9.585980152044204</x:v>
      </x:c>
      <x:c r="K176" s="23" t="n">
        <x:f>IF(E176&gt;0,J176/E176*100,"")</x:f>
        <x:v>79.8831679337017</x:v>
      </x:c>
      <x:c r="L176" s="23" t="n">
        <x:f>IF(E176&gt;0,ABS(J176-E176),"")</x:f>
        <x:v>2.414019847955796</x:v>
      </x:c>
      <x:c r="M176" s="23" t="n">
        <x:v>0.798633873462677</x:v>
      </x:c>
      <x:c r="N176" s="20" t="n">
        <x:v>270</x:v>
      </x:c>
      <x:c r="O176" s="20" t="str">
        <x:v>yes</x:v>
      </x:c>
    </x:row>
    <x:row r="177">
      <x:c r="A177" s="20" t="str">
        <x:v>DQ12-TB12-TH24.csv</x:v>
      </x:c>
      <x:c r="B177" s="20" t="n">
        <x:v>4</x:v>
      </x:c>
      <x:c r="C177" s="20" t="str">
        <x:v>ternary</x:v>
      </x:c>
      <x:c r="D177" s="20" t="str">
        <x:v>TBZ</x:v>
      </x:c>
      <x:c r="E177" s="23" t="n">
        <x:v>12</x:v>
      </x:c>
      <x:c r="F177" s="23" t="n">
        <x:v>49.91993558044272</x:v>
      </x:c>
      <x:c r="G177" s="23" t="n">
        <x:v>932.7028683391659</x:v>
      </x:c>
      <x:c r="H177" s="23" t="n">
        <x:v>1.3495995459502517</x:v>
      </x:c>
      <x:c r="I177" s="23" t="n">
        <x:v>20.519338951370145</x:v>
      </x:c>
      <x:c r="J177" s="23" t="n">
        <x:v>15.738162012445317</x:v>
      </x:c>
      <x:c r="K177" s="23" t="n">
        <x:f>IF(E177&gt;0,J177/E177*100,"")</x:f>
        <x:v>131.15135010371097</x:v>
      </x:c>
      <x:c r="L177" s="23" t="n">
        <x:f>IF(E177&gt;0,ABS(J177-E177),"")</x:f>
        <x:v>3.7381620124453168</x:v>
      </x:c>
      <x:c r="M177" s="23" t="n">
        <x:v>1.066749095916748</x:v>
      </x:c>
      <x:c r="N177" s="20" t="n">
        <x:v>270</x:v>
      </x:c>
      <x:c r="O177" s="20" t="str">
        <x:v>yes</x:v>
      </x:c>
    </x:row>
    <x:row r="178">
      <x:c r="A178" s="20" t="str">
        <x:v>DQ12-TB12-TH24.csv</x:v>
      </x:c>
      <x:c r="B178" s="20" t="n">
        <x:v>4</x:v>
      </x:c>
      <x:c r="C178" s="20" t="str">
        <x:v>ternary</x:v>
      </x:c>
      <x:c r="D178" s="20" t="str">
        <x:v>THI</x:v>
      </x:c>
      <x:c r="E178" s="23" t="n">
        <x:v>24</x:v>
      </x:c>
      <x:c r="F178" s="23" t="n">
        <x:v>26.134858463498205</x:v>
      </x:c>
      <x:c r="G178" s="23" t="n">
        <x:v>7346.076692898285</x:v>
      </x:c>
      <x:c r="H178" s="23" t="n">
        <x:v>25.46499099012694</x:v>
      </x:c>
      <x:c r="I178" s="23" t="n">
        <x:v>23.405166758181128</x:v>
      </x:c>
      <x:c r="J178" s="23" t="n">
        <x:v>20.716096176441177</x:v>
      </x:c>
      <x:c r="K178" s="23" t="n">
        <x:f>IF(E178&gt;0,J178/E178*100,"")</x:f>
        <x:v>86.31706740183823</x:v>
      </x:c>
      <x:c r="L178" s="23" t="n">
        <x:f>IF(E178&gt;0,ABS(J178-E178),"")</x:f>
        <x:v>3.2839038235588234</x:v>
      </x:c>
      <x:c r="M178" s="23" t="n">
        <x:v>-0.08963561803102493</x:v>
      </x:c>
      <x:c r="N178" s="20" t="n">
        <x:v>270</x:v>
      </x:c>
      <x:c r="O178" s="20" t="str">
        <x:v>yes</x:v>
      </x:c>
    </x:row>
    <x:row r="179">
      <x:c r="A179" s="20" t="str">
        <x:v>DQ12-TB12-TH3.csv</x:v>
      </x:c>
      <x:c r="B179" s="20" t="n">
        <x:v>4</x:v>
      </x:c>
      <x:c r="C179" s="20" t="str">
        <x:v>ternary</x:v>
      </x:c>
      <x:c r="D179" s="20" t="str">
        <x:v>DQ</x:v>
      </x:c>
      <x:c r="E179" s="23" t="n">
        <x:v>12</x:v>
      </x:c>
      <x:c r="F179" s="23" t="n">
        <x:v>40.63628451333674</x:v>
      </x:c>
      <x:c r="G179" s="23" t="n">
        <x:v>3138.8473380425667</x:v>
      </x:c>
      <x:c r="H179" s="23" t="n">
        <x:v>1.5545762352551946</x:v>
      </x:c>
      <x:c r="I179" s="23" t="n">
        <x:v>19.975488581221278</x:v>
      </x:c>
      <x:c r="J179" s="23" t="n">
        <x:v>13.335642814815301</x:v>
      </x:c>
      <x:c r="K179" s="23" t="n">
        <x:f>IF(E179&gt;0,J179/E179*100,"")</x:f>
        <x:v>111.13035679012751</x:v>
      </x:c>
      <x:c r="L179" s="23" t="n">
        <x:f>IF(E179&gt;0,ABS(J179-E179),"")</x:f>
        <x:v>1.3356428148153014</x:v>
      </x:c>
      <x:c r="M179" s="23" t="n">
        <x:v>0.9334019422531128</x:v>
      </x:c>
      <x:c r="N179" s="20" t="n">
        <x:v>270</x:v>
      </x:c>
      <x:c r="O179" s="20" t="str">
        <x:v>yes</x:v>
      </x:c>
    </x:row>
    <x:row r="180">
      <x:c r="A180" s="20" t="str">
        <x:v>DQ12-TB12-TH3.csv</x:v>
      </x:c>
      <x:c r="B180" s="20" t="n">
        <x:v>4</x:v>
      </x:c>
      <x:c r="C180" s="20" t="str">
        <x:v>ternary</x:v>
      </x:c>
      <x:c r="D180" s="20" t="str">
        <x:v>TBZ</x:v>
      </x:c>
      <x:c r="E180" s="23" t="n">
        <x:v>12</x:v>
      </x:c>
      <x:c r="F180" s="23" t="n">
        <x:v>50.25964309219471</x:v>
      </x:c>
      <x:c r="G180" s="23" t="n">
        <x:v>1205.3883118324597</x:v>
      </x:c>
      <x:c r="H180" s="23" t="n">
        <x:v>1.591092889752746</x:v>
      </x:c>
      <x:c r="I180" s="23" t="n">
        <x:v>20.92313209572374</x:v>
      </x:c>
      <x:c r="J180" s="23" t="n">
        <x:v>12.475697263250192</x:v>
      </x:c>
      <x:c r="K180" s="23" t="n">
        <x:f>IF(E180&gt;0,J180/E180*100,"")</x:f>
        <x:v>103.96414386041826</x:v>
      </x:c>
      <x:c r="L180" s="23" t="n">
        <x:f>IF(E180&gt;0,ABS(J180-E180),"")</x:f>
        <x:v>0.4756972632501917</x:v>
      </x:c>
      <x:c r="M180" s="23" t="n">
        <x:v>0.8943693041801453</x:v>
      </x:c>
      <x:c r="N180" s="20" t="n">
        <x:v>270</x:v>
      </x:c>
      <x:c r="O180" s="20" t="str">
        <x:v>yes</x:v>
      </x:c>
    </x:row>
    <x:row r="181">
      <x:c r="A181" s="20" t="str">
        <x:v>DQ12-TB12-TH3.csv</x:v>
      </x:c>
      <x:c r="B181" s="20" t="n">
        <x:v>4</x:v>
      </x:c>
      <x:c r="C181" s="20" t="str">
        <x:v>ternary</x:v>
      </x:c>
      <x:c r="D181" s="20" t="str">
        <x:v>THI</x:v>
      </x:c>
      <x:c r="E181" s="23" t="n">
        <x:v>3</x:v>
      </x:c>
      <x:c r="F181" s="23" t="n">
        <x:v>9.10407239436856</x:v>
      </x:c>
      <x:c r="G181" s="23" t="n">
        <x:v>1120.2268633816707</x:v>
      </x:c>
      <x:c r="H181" s="23" t="n">
        <x:v>1.1064500013121368</x:v>
      </x:c>
      <x:c r="I181" s="23" t="n">
        <x:v>3.6106415415101876</x:v>
      </x:c>
      <x:c r="J181" s="23" t="n">
        <x:v>2.368922151001229</x:v>
      </x:c>
      <x:c r="K181" s="23" t="n">
        <x:f>IF(E181&gt;0,J181/E181*100,"")</x:f>
        <x:v>78.96407170004096</x:v>
      </x:c>
      <x:c r="L181" s="23" t="n">
        <x:f>IF(E181&gt;0,ABS(J181-E181),"")</x:f>
        <x:v>0.6310778489987712</x:v>
      </x:c>
      <x:c r="M181" s="23" t="n">
        <x:v>0.3306189775466919</x:v>
      </x:c>
      <x:c r="N181" s="20" t="n">
        <x:v>270</x:v>
      </x:c>
      <x:c r="O181" s="20" t="str">
        <x:v>yes</x:v>
      </x:c>
    </x:row>
    <x:row r="182">
      <x:c r="A182" s="20" t="str">
        <x:v>DQ12-TB24-TH12.csv</x:v>
      </x:c>
      <x:c r="B182" s="20" t="n">
        <x:v>4</x:v>
      </x:c>
      <x:c r="C182" s="20" t="str">
        <x:v>ternary</x:v>
      </x:c>
      <x:c r="D182" s="20" t="str">
        <x:v>DQ</x:v>
      </x:c>
      <x:c r="E182" s="23" t="n">
        <x:v>12</x:v>
      </x:c>
      <x:c r="F182" s="23" t="n">
        <x:v>6.617472230794953</x:v>
      </x:c>
      <x:c r="G182" s="23" t="n">
        <x:v>6004.4913932804475</x:v>
      </x:c>
      <x:c r="H182" s="23" t="n">
        <x:v>6.47325902884907</x:v>
      </x:c>
      <x:c r="I182" s="23" t="n">
        <x:v>7.068354380063828</x:v>
      </x:c>
      <x:c r="J182" s="23" t="n">
        <x:v>5.4381512800264264</x:v>
      </x:c>
      <x:c r="K182" s="23" t="n">
        <x:f>IF(E182&gt;0,J182/E182*100,"")</x:f>
        <x:v>45.317927333553556</x:v>
      </x:c>
      <x:c r="L182" s="23" t="n">
        <x:f>IF(E182&gt;0,ABS(J182-E182),"")</x:f>
        <x:v>6.5618487199735736</x:v>
      </x:c>
      <x:c r="M182" s="23" t="n">
        <x:v>-0.07567170262336731</x:v>
      </x:c>
      <x:c r="N182" s="20" t="n">
        <x:v>270</x:v>
      </x:c>
      <x:c r="O182" s="20" t="str">
        <x:v>yes</x:v>
      </x:c>
    </x:row>
    <x:row r="183">
      <x:c r="A183" s="20" t="str">
        <x:v>DQ12-TB24-TH12.csv</x:v>
      </x:c>
      <x:c r="B183" s="20" t="n">
        <x:v>4</x:v>
      </x:c>
      <x:c r="C183" s="20" t="str">
        <x:v>ternary</x:v>
      </x:c>
      <x:c r="D183" s="20" t="str">
        <x:v>TBZ</x:v>
      </x:c>
      <x:c r="E183" s="23" t="n">
        <x:v>24</x:v>
      </x:c>
      <x:c r="F183" s="23" t="n">
        <x:v>78.18961113189083</x:v>
      </x:c>
      <x:c r="G183" s="23" t="n">
        <x:v>4305.856356624903</x:v>
      </x:c>
      <x:c r="H183" s="23" t="n">
        <x:v>10.34076923383649</x:v>
      </x:c>
      <x:c r="I183" s="23" t="n">
        <x:v>76.25350106427707</x:v>
      </x:c>
      <x:c r="J183" s="23" t="n">
        <x:v>58.4897984678191</x:v>
      </x:c>
      <x:c r="K183" s="23" t="n">
        <x:f>IF(E183&gt;0,J183/E183*100,"")</x:f>
        <x:v>243.70749361591294</x:v>
      </x:c>
      <x:c r="L183" s="23" t="n">
        <x:f>IF(E183&gt;0,ABS(J183-E183),"")</x:f>
        <x:v>34.4897984678191</x:v>
      </x:c>
      <x:c r="M183" s="23" t="n">
        <x:v>0.7525272965431213</x:v>
      </x:c>
      <x:c r="N183" s="20" t="n">
        <x:v>270</x:v>
      </x:c>
      <x:c r="O183" s="20" t="str">
        <x:v>yes</x:v>
      </x:c>
    </x:row>
    <x:row r="184">
      <x:c r="A184" s="20" t="str">
        <x:v>DQ12-TB24-TH12.csv</x:v>
      </x:c>
      <x:c r="B184" s="20" t="n">
        <x:v>4</x:v>
      </x:c>
      <x:c r="C184" s="20" t="str">
        <x:v>ternary</x:v>
      </x:c>
      <x:c r="D184" s="20" t="str">
        <x:v>THI</x:v>
      </x:c>
      <x:c r="E184" s="23" t="n">
        <x:v>12</x:v>
      </x:c>
      <x:c r="F184" s="23" t="n">
        <x:v>15.19291663721421</x:v>
      </x:c>
      <x:c r="G184" s="23" t="n">
        <x:v>6830.876747159289</x:v>
      </x:c>
      <x:c r="H184" s="23" t="n">
        <x:v>19.644214941609818</x:v>
      </x:c>
      <x:c r="I184" s="23" t="n">
        <x:v>14.700138279158452</x:v>
      </x:c>
      <x:c r="J184" s="23" t="n">
        <x:v>23.70215143991069</x:v>
      </x:c>
      <x:c r="K184" s="23" t="n">
        <x:f>IF(E184&gt;0,J184/E184*100,"")</x:f>
        <x:v>197.51792866592243</x:v>
      </x:c>
      <x:c r="L184" s="23" t="n">
        <x:f>IF(E184&gt;0,ABS(J184-E184),"")</x:f>
        <x:v>11.70215143991069</x:v>
      </x:c>
      <x:c r="M184" s="23" t="n">
        <x:v>0.08155309408903122</x:v>
      </x:c>
      <x:c r="N184" s="20" t="n">
        <x:v>270</x:v>
      </x:c>
      <x:c r="O184" s="20" t="str">
        <x:v>yes</x:v>
      </x:c>
    </x:row>
    <x:row r="185">
      <x:c r="A185" s="20" t="str">
        <x:v>DQ12-TB24-TH24.csv</x:v>
      </x:c>
      <x:c r="B185" s="20" t="n">
        <x:v>4</x:v>
      </x:c>
      <x:c r="C185" s="20" t="str">
        <x:v>ternary</x:v>
      </x:c>
      <x:c r="D185" s="20" t="str">
        <x:v>DQ</x:v>
      </x:c>
      <x:c r="E185" s="23" t="n">
        <x:v>12</x:v>
      </x:c>
      <x:c r="F185" s="23" t="n">
        <x:v>12.897851783301167</x:v>
      </x:c>
      <x:c r="G185" s="23" t="n">
        <x:v>4270.734666161785</x:v>
      </x:c>
      <x:c r="H185" s="23" t="n">
        <x:v>2.730924907031687</x:v>
      </x:c>
      <x:c r="I185" s="23" t="n">
        <x:v>6.568738244123609</x:v>
      </x:c>
      <x:c r="J185" s="23" t="n">
        <x:v>6.85078258592614</x:v>
      </x:c>
      <x:c r="K185" s="23" t="n">
        <x:f>IF(E185&gt;0,J185/E185*100,"")</x:f>
        <x:v>57.08985488271784</x:v>
      </x:c>
      <x:c r="L185" s="23" t="n">
        <x:f>IF(E185&gt;0,ABS(J185-E185),"")</x:f>
        <x:v>5.14921741407386</x:v>
      </x:c>
      <x:c r="M185" s="23" t="n">
        <x:v>0.39943042397499084</x:v>
      </x:c>
      <x:c r="N185" s="20" t="n">
        <x:v>270</x:v>
      </x:c>
      <x:c r="O185" s="20" t="str">
        <x:v>yes</x:v>
      </x:c>
    </x:row>
    <x:row r="186">
      <x:c r="A186" s="20" t="str">
        <x:v>DQ12-TB24-TH24.csv</x:v>
      </x:c>
      <x:c r="B186" s="20" t="n">
        <x:v>4</x:v>
      </x:c>
      <x:c r="C186" s="20" t="str">
        <x:v>ternary</x:v>
      </x:c>
      <x:c r="D186" s="20" t="str">
        <x:v>TBZ</x:v>
      </x:c>
      <x:c r="E186" s="23" t="n">
        <x:v>24</x:v>
      </x:c>
      <x:c r="F186" s="23" t="n">
        <x:v>67.24180985508117</x:v>
      </x:c>
      <x:c r="G186" s="23" t="n">
        <x:v>2604.1991898625465</x:v>
      </x:c>
      <x:c r="H186" s="23" t="n">
        <x:v>3.7019045233776953</x:v>
      </x:c>
      <x:c r="I186" s="23" t="n">
        <x:v>37.84049133771101</x:v>
      </x:c>
      <x:c r="J186" s="23" t="n">
        <x:v>40.80069115641377</x:v>
      </x:c>
      <x:c r="K186" s="23" t="n">
        <x:f>IF(E186&gt;0,J186/E186*100,"")</x:f>
        <x:v>170.0028798183907</x:v>
      </x:c>
      <x:c r="L186" s="23" t="n">
        <x:f>IF(E186&gt;0,ABS(J186-E186),"")</x:f>
        <x:v>16.80069115641377</x:v>
      </x:c>
      <x:c r="M186" s="23" t="n">
        <x:v>1.0422422885894775</x:v>
      </x:c>
      <x:c r="N186" s="20" t="n">
        <x:v>270</x:v>
      </x:c>
      <x:c r="O186" s="20" t="str">
        <x:v>yes</x:v>
      </x:c>
    </x:row>
    <x:row r="187">
      <x:c r="A187" s="20" t="str">
        <x:v>DQ12-TB24-TH24.csv</x:v>
      </x:c>
      <x:c r="B187" s="20" t="n">
        <x:v>4</x:v>
      </x:c>
      <x:c r="C187" s="20" t="str">
        <x:v>ternary</x:v>
      </x:c>
      <x:c r="D187" s="20" t="str">
        <x:v>THI</x:v>
      </x:c>
      <x:c r="E187" s="23" t="n">
        <x:v>24</x:v>
      </x:c>
      <x:c r="F187" s="23" t="n">
        <x:v>19.860338361517655</x:v>
      </x:c>
      <x:c r="G187" s="23" t="n">
        <x:v>6430.9389959667615</x:v>
      </x:c>
      <x:c r="H187" s="23" t="n">
        <x:v>16.05984744449549</x:v>
      </x:c>
      <x:c r="I187" s="23" t="n">
        <x:v>15.969600133075547</x:v>
      </x:c>
      <x:c r="J187" s="23" t="n">
        <x:v>27.25099039147846</x:v>
      </x:c>
      <x:c r="K187" s="23" t="n">
        <x:f>IF(E187&gt;0,J187/E187*100,"")</x:f>
        <x:v>113.54579329782692</x:v>
      </x:c>
      <x:c r="L187" s="23" t="n">
        <x:f>IF(E187&gt;0,ABS(J187-E187),"")</x:f>
        <x:v>3.25099039147846</x:v>
      </x:c>
      <x:c r="M187" s="23" t="n">
        <x:v>0.2296408712863922</x:v>
      </x:c>
      <x:c r="N187" s="20" t="n">
        <x:v>270</x:v>
      </x:c>
      <x:c r="O187" s="20" t="str">
        <x:v>yes</x:v>
      </x:c>
    </x:row>
    <x:row r="188">
      <x:c r="A188" s="20" t="str">
        <x:v>DQ12-TB24-TH6.csv</x:v>
      </x:c>
      <x:c r="B188" s="20" t="n">
        <x:v>4</x:v>
      </x:c>
      <x:c r="C188" s="20" t="str">
        <x:v>ternary</x:v>
      </x:c>
      <x:c r="D188" s="20" t="str">
        <x:v>DQ</x:v>
      </x:c>
      <x:c r="E188" s="23" t="n">
        <x:v>12</x:v>
      </x:c>
      <x:c r="F188" s="23" t="n">
        <x:v>17.769225826821412</x:v>
      </x:c>
      <x:c r="G188" s="23" t="n">
        <x:v>8356.7157868794</x:v>
      </x:c>
      <x:c r="H188" s="23" t="n">
        <x:v>20.87565028257385</x:v>
      </x:c>
      <x:c r="I188" s="23" t="n">
        <x:v>12.631043077007334</x:v>
      </x:c>
      <x:c r="J188" s="23" t="n">
        <x:v>11.082273066869593</x:v>
      </x:c>
      <x:c r="K188" s="23" t="n">
        <x:f>IF(E188&gt;0,J188/E188*100,"")</x:f>
        <x:v>92.35227555724661</x:v>
      </x:c>
      <x:c r="L188" s="23" t="n">
        <x:f>IF(E188&gt;0,ABS(J188-E188),"")</x:f>
        <x:v>0.9177269331304068</x:v>
      </x:c>
      <x:c r="M188" s="23" t="n">
        <x:v>-0.2750111520290375</x:v>
      </x:c>
      <x:c r="N188" s="20" t="n">
        <x:v>270</x:v>
      </x:c>
      <x:c r="O188" s="20" t="str">
        <x:v>yes</x:v>
      </x:c>
    </x:row>
    <x:row r="189">
      <x:c r="A189" s="20" t="str">
        <x:v>DQ12-TB24-TH6.csv</x:v>
      </x:c>
      <x:c r="B189" s="20" t="n">
        <x:v>4</x:v>
      </x:c>
      <x:c r="C189" s="20" t="str">
        <x:v>ternary</x:v>
      </x:c>
      <x:c r="D189" s="20" t="str">
        <x:v>TBZ</x:v>
      </x:c>
      <x:c r="E189" s="23" t="n">
        <x:v>24</x:v>
      </x:c>
      <x:c r="F189" s="23" t="n">
        <x:v>75.13022192851638</x:v>
      </x:c>
      <x:c r="G189" s="23" t="n">
        <x:v>5236.588413713829</x:v>
      </x:c>
      <x:c r="H189" s="23" t="n">
        <x:v>18.136987453252335</x:v>
      </x:c>
      <x:c r="I189" s="23" t="n">
        <x:v>65.96713109022274</x:v>
      </x:c>
      <x:c r="J189" s="23" t="n">
        <x:v>33.49727755174673</x:v>
      </x:c>
      <x:c r="K189" s="23" t="n">
        <x:f>IF(E189&gt;0,J189/E189*100,"")</x:f>
        <x:v>139.57198979894468</x:v>
      </x:c>
      <x:c r="L189" s="23" t="n">
        <x:f>IF(E189&gt;0,ABS(J189-E189),"")</x:f>
        <x:v>9.497277551746727</x:v>
      </x:c>
      <x:c r="M189" s="23" t="n">
        <x:v>0.2664443552494049</x:v>
      </x:c>
      <x:c r="N189" s="20" t="n">
        <x:v>270</x:v>
      </x:c>
      <x:c r="O189" s="20" t="str">
        <x:v>yes</x:v>
      </x:c>
    </x:row>
    <x:row r="190">
      <x:c r="A190" s="20" t="str">
        <x:v>DQ12-TB24-TH6.csv</x:v>
      </x:c>
      <x:c r="B190" s="20" t="n">
        <x:v>4</x:v>
      </x:c>
      <x:c r="C190" s="20" t="str">
        <x:v>ternary</x:v>
      </x:c>
      <x:c r="D190" s="20" t="str">
        <x:v>THI</x:v>
      </x:c>
      <x:c r="E190" s="23" t="n">
        <x:v>6</x:v>
      </x:c>
      <x:c r="F190" s="23" t="n">
        <x:v>7.100552244562225</x:v>
      </x:c>
      <x:c r="G190" s="23" t="n">
        <x:v>3238.4558037015986</x:v>
      </x:c>
      <x:c r="H190" s="23" t="n">
        <x:v>3.216109355014038</x:v>
      </x:c>
      <x:c r="I190" s="23" t="n">
        <x:v>4.547991618118188</x:v>
      </x:c>
      <x:c r="J190" s="23" t="n">
        <x:v>4.0246603136911165</x:v>
      </x:c>
      <x:c r="K190" s="23" t="n">
        <x:f>IF(E190&gt;0,J190/E190*100,"")</x:f>
        <x:v>67.07767189485195</x:v>
      </x:c>
      <x:c r="L190" s="23" t="n">
        <x:f>IF(E190&gt;0,ABS(J190-E190),"")</x:f>
        <x:v>1.9753396863088835</x:v>
      </x:c>
      <x:c r="M190" s="23" t="n">
        <x:v>0.09739840775728226</x:v>
      </x:c>
      <x:c r="N190" s="20" t="n">
        <x:v>270</x:v>
      </x:c>
      <x:c r="O190" s="20" t="str">
        <x:v>yes</x:v>
      </x:c>
    </x:row>
    <x:row r="191">
      <x:c r="A191" s="20" t="str">
        <x:v>DQ12-TB3-TH3.csv</x:v>
      </x:c>
      <x:c r="B191" s="20" t="n">
        <x:v>4</x:v>
      </x:c>
      <x:c r="C191" s="20" t="str">
        <x:v>ternary</x:v>
      </x:c>
      <x:c r="D191" s="20" t="str">
        <x:v>DQ</x:v>
      </x:c>
      <x:c r="E191" s="23" t="n">
        <x:v>12</x:v>
      </x:c>
      <x:c r="F191" s="23" t="n">
        <x:v>40.08844995336909</x:v>
      </x:c>
      <x:c r="G191" s="23" t="n">
        <x:v>2161.1754403597956</x:v>
      </x:c>
      <x:c r="H191" s="23" t="n">
        <x:v>0.9555500614262695</x:v>
      </x:c>
      <x:c r="I191" s="23" t="n">
        <x:v>25.536276745318645</x:v>
      </x:c>
      <x:c r="J191" s="23" t="n">
        <x:v>13.442021075608404</x:v>
      </x:c>
      <x:c r="K191" s="23" t="n">
        <x:f>IF(E191&gt;0,J191/E191*100,"")</x:f>
        <x:v>112.0168422967367</x:v>
      </x:c>
      <x:c r="L191" s="23" t="n">
        <x:f>IF(E191&gt;0,ABS(J191-E191),"")</x:f>
        <x:v>1.4420210756084035</x:v>
      </x:c>
      <x:c r="M191" s="23" t="n">
        <x:v>1.148211121559143</x:v>
      </x:c>
      <x:c r="N191" s="20" t="n">
        <x:v>270</x:v>
      </x:c>
      <x:c r="O191" s="20" t="str">
        <x:v>yes</x:v>
      </x:c>
    </x:row>
    <x:row r="192">
      <x:c r="A192" s="20" t="str">
        <x:v>DQ12-TB3-TH3.csv</x:v>
      </x:c>
      <x:c r="B192" s="20" t="n">
        <x:v>4</x:v>
      </x:c>
      <x:c r="C192" s="20" t="str">
        <x:v>ternary</x:v>
      </x:c>
      <x:c r="D192" s="20" t="str">
        <x:v>TBZ</x:v>
      </x:c>
      <x:c r="E192" s="23" t="n">
        <x:v>3</x:v>
      </x:c>
      <x:c r="F192" s="23" t="n">
        <x:v>35.009396621087355</x:v>
      </x:c>
      <x:c r="G192" s="23" t="n">
        <x:v>731.5185406350892</x:v>
      </x:c>
      <x:c r="H192" s="23" t="n">
        <x:v>1.195253254399592</x:v>
      </x:c>
      <x:c r="I192" s="23" t="n">
        <x:v>17.59445299846338</x:v>
      </x:c>
      <x:c r="J192" s="23" t="n">
        <x:v>11.098625032587526</x:v>
      </x:c>
      <x:c r="K192" s="23" t="n">
        <x:f>IF(E192&gt;0,J192/E192*100,"")</x:f>
        <x:v>369.95416775291756</x:v>
      </x:c>
      <x:c r="L192" s="23" t="n">
        <x:f>IF(E192&gt;0,ABS(J192-E192),"")</x:f>
        <x:v>8.098625032587526</x:v>
      </x:c>
      <x:c r="M192" s="23" t="n">
        <x:v>0.96780925989151</x:v>
      </x:c>
      <x:c r="N192" s="20" t="n">
        <x:v>270</x:v>
      </x:c>
      <x:c r="O192" s="20" t="str">
        <x:v>yes</x:v>
      </x:c>
    </x:row>
    <x:row r="193">
      <x:c r="A193" s="20" t="str">
        <x:v>DQ12-TB3-TH3.csv</x:v>
      </x:c>
      <x:c r="B193" s="20" t="n">
        <x:v>4</x:v>
      </x:c>
      <x:c r="C193" s="20" t="str">
        <x:v>ternary</x:v>
      </x:c>
      <x:c r="D193" s="20" t="str">
        <x:v>THI</x:v>
      </x:c>
      <x:c r="E193" s="23" t="n">
        <x:v>3</x:v>
      </x:c>
      <x:c r="F193" s="23" t="n">
        <x:v>24.90215342544356</x:v>
      </x:c>
      <x:c r="G193" s="23" t="n">
        <x:v>1006.0858978371675</x:v>
      </x:c>
      <x:c r="H193" s="23" t="n">
        <x:v>1.0446275955013826</x:v>
      </x:c>
      <x:c r="I193" s="23" t="n">
        <x:v>5.733946566883069</x:v>
      </x:c>
      <x:c r="J193" s="23" t="n">
        <x:v>4.273661736102833</x:v>
      </x:c>
      <x:c r="K193" s="23" t="n">
        <x:f>IF(E193&gt;0,J193/E193*100,"")</x:f>
        <x:v>142.45539120342775</x:v>
      </x:c>
      <x:c r="L193" s="23" t="n">
        <x:f>IF(E193&gt;0,ABS(J193-E193),"")</x:f>
        <x:v>1.2736617361028326</x:v>
      </x:c>
      <x:c r="M193" s="23" t="n">
        <x:v>0.6118386387825012</x:v>
      </x:c>
      <x:c r="N193" s="20" t="n">
        <x:v>270</x:v>
      </x:c>
      <x:c r="O193" s="20" t="str">
        <x:v>yes</x:v>
      </x:c>
    </x:row>
    <x:row r="194">
      <x:c r="A194" s="20" t="str">
        <x:v>DQ24-TB3-TH3.csv</x:v>
      </x:c>
      <x:c r="B194" s="20" t="n">
        <x:v>4</x:v>
      </x:c>
      <x:c r="C194" s="20" t="str">
        <x:v>ternary</x:v>
      </x:c>
      <x:c r="D194" s="20" t="str">
        <x:v>DQ</x:v>
      </x:c>
      <x:c r="E194" s="23" t="n">
        <x:v>24</x:v>
      </x:c>
      <x:c r="F194" s="23" t="n">
        <x:v>60.76277470375837</x:v>
      </x:c>
      <x:c r="G194" s="23" t="n">
        <x:v>6088.787495581019</x:v>
      </x:c>
      <x:c r="H194" s="23" t="n">
        <x:v>6.750665495873004</x:v>
      </x:c>
      <x:c r="I194" s="23" t="n">
        <x:v>27.231791763301917</x:v>
      </x:c>
      <x:c r="J194" s="23" t="n">
        <x:v>17.049425760348395</x:v>
      </x:c>
      <x:c r="K194" s="23" t="n">
        <x:f>IF(E194&gt;0,J194/E194*100,"")</x:f>
        <x:v>71.03927400145164</x:v>
      </x:c>
      <x:c r="L194" s="23" t="n">
        <x:f>IF(E194&gt;0,ABS(J194-E194),"")</x:f>
        <x:v>6.950574239651605</x:v>
      </x:c>
      <x:c r="M194" s="23" t="n">
        <x:v>0.4023631811141968</x:v>
      </x:c>
      <x:c r="N194" s="20" t="n">
        <x:v>270</x:v>
      </x:c>
      <x:c r="O194" s="20" t="str">
        <x:v>yes</x:v>
      </x:c>
    </x:row>
    <x:row r="195">
      <x:c r="A195" s="20" t="str">
        <x:v>DQ24-TB3-TH3.csv</x:v>
      </x:c>
      <x:c r="B195" s="20" t="n">
        <x:v>4</x:v>
      </x:c>
      <x:c r="C195" s="20" t="str">
        <x:v>ternary</x:v>
      </x:c>
      <x:c r="D195" s="20" t="str">
        <x:v>TBZ</x:v>
      </x:c>
      <x:c r="E195" s="23" t="n">
        <x:v>3</x:v>
      </x:c>
      <x:c r="F195" s="23" t="n">
        <x:v>30.959688566817</x:v>
      </x:c>
      <x:c r="G195" s="23" t="n">
        <x:v>860.0600032636671</x:v>
      </x:c>
      <x:c r="H195" s="23" t="n">
        <x:v>1.291694961014782</x:v>
      </x:c>
      <x:c r="I195" s="23" t="n">
        <x:v>7.1074659046308355</x:v>
      </x:c>
      <x:c r="J195" s="23" t="n">
        <x:v>8.245239882164924</x:v>
      </x:c>
      <x:c r="K195" s="23" t="n">
        <x:f>IF(E195&gt;0,J195/E195*100,"")</x:f>
        <x:v>274.8413294054975</x:v>
      </x:c>
      <x:c r="L195" s="23" t="n">
        <x:f>IF(E195&gt;0,ABS(J195-E195),"")</x:f>
        <x:v>5.245239882164924</x:v>
      </x:c>
      <x:c r="M195" s="23" t="n">
        <x:v>0.8050433397293091</x:v>
      </x:c>
      <x:c r="N195" s="20" t="n">
        <x:v>270</x:v>
      </x:c>
      <x:c r="O195" s="20" t="str">
        <x:v>yes</x:v>
      </x:c>
    </x:row>
    <x:row r="196">
      <x:c r="A196" s="20" t="str">
        <x:v>DQ24-TB3-TH3.csv</x:v>
      </x:c>
      <x:c r="B196" s="20" t="n">
        <x:v>4</x:v>
      </x:c>
      <x:c r="C196" s="20" t="str">
        <x:v>ternary</x:v>
      </x:c>
      <x:c r="D196" s="20" t="str">
        <x:v>THI</x:v>
      </x:c>
      <x:c r="E196" s="23" t="n">
        <x:v>3</x:v>
      </x:c>
      <x:c r="F196" s="23" t="n">
        <x:v>8.27753672932464</x:v>
      </x:c>
      <x:c r="G196" s="23" t="n">
        <x:v>3642.193357596624</x:v>
      </x:c>
      <x:c r="H196" s="23" t="n">
        <x:v>3.9414438269325727</x:v>
      </x:c>
      <x:c r="I196" s="23" t="n">
        <x:v>4.877543898897924</x:v>
      </x:c>
      <x:c r="J196" s="23" t="n">
        <x:v>3.242201179163555</x:v>
      </x:c>
      <x:c r="K196" s="23" t="n">
        <x:f>IF(E196&gt;0,J196/E196*100,"")</x:f>
        <x:v>108.07337263878519</x:v>
      </x:c>
      <x:c r="L196" s="23" t="n">
        <x:f>IF(E196&gt;0,ABS(J196-E196),"")</x:f>
        <x:v>0.2422011791635552</x:v>
      </x:c>
      <x:c r="M196" s="23" t="n">
        <x:v>-0.0848153755068779</x:v>
      </x:c>
      <x:c r="N196" s="20" t="n">
        <x:v>270</x:v>
      </x:c>
      <x:c r="O196" s="20" t="str">
        <x:v>yes</x:v>
      </x:c>
    </x:row>
    <x:row r="197">
      <x:c r="A197" s="20" t="str">
        <x:v>DQ24-TB3-TH6.csv</x:v>
      </x:c>
      <x:c r="B197" s="20" t="n">
        <x:v>4</x:v>
      </x:c>
      <x:c r="C197" s="20" t="str">
        <x:v>ternary</x:v>
      </x:c>
      <x:c r="D197" s="20" t="str">
        <x:v>DQ</x:v>
      </x:c>
      <x:c r="E197" s="23" t="n">
        <x:v>24</x:v>
      </x:c>
      <x:c r="F197" s="23" t="n">
        <x:v>51.528277472043385</x:v>
      </x:c>
      <x:c r="G197" s="23" t="n">
        <x:v>4363.00309283235</x:v>
      </x:c>
      <x:c r="H197" s="23" t="n">
        <x:v>2.859281162051542</x:v>
      </x:c>
      <x:c r="I197" s="23" t="n">
        <x:v>13.519857298802417</x:v>
      </x:c>
      <x:c r="J197" s="23" t="n">
        <x:v>19.32841409114503</x:v>
      </x:c>
      <x:c r="K197" s="23" t="n">
        <x:f>IF(E197&gt;0,J197/E197*100,"")</x:f>
        <x:v>80.5350587131043</x:v>
      </x:c>
      <x:c r="L197" s="23" t="n">
        <x:f>IF(E197&gt;0,ABS(J197-E197),"")</x:f>
        <x:v>4.6715859088549685</x:v>
      </x:c>
      <x:c r="M197" s="23" t="n">
        <x:v>0.8299393653869629</x:v>
      </x:c>
      <x:c r="N197" s="20" t="n">
        <x:v>270</x:v>
      </x:c>
      <x:c r="O197" s="20" t="str">
        <x:v>yes</x:v>
      </x:c>
    </x:row>
    <x:row r="198">
      <x:c r="A198" s="20" t="str">
        <x:v>DQ24-TB3-TH6.csv</x:v>
      </x:c>
      <x:c r="B198" s="20" t="n">
        <x:v>4</x:v>
      </x:c>
      <x:c r="C198" s="20" t="str">
        <x:v>ternary</x:v>
      </x:c>
      <x:c r="D198" s="20" t="str">
        <x:v>TBZ</x:v>
      </x:c>
      <x:c r="E198" s="23" t="n">
        <x:v>3</x:v>
      </x:c>
      <x:c r="F198" s="23" t="n">
        <x:v>32.91761473465108</x:v>
      </x:c>
      <x:c r="G198" s="23" t="n">
        <x:v>1290.83879203733</x:v>
      </x:c>
      <x:c r="H198" s="23" t="n">
        <x:v>1.6753220206178328</x:v>
      </x:c>
      <x:c r="I198" s="23" t="n">
        <x:v>9.607527915309802</x:v>
      </x:c>
      <x:c r="J198" s="23" t="n">
        <x:v>9.732947408494775</x:v>
      </x:c>
      <x:c r="K198" s="23" t="n">
        <x:f>IF(E198&gt;0,J198/E198*100,"")</x:f>
        <x:v>324.4315802831592</x:v>
      </x:c>
      <x:c r="L198" s="23" t="n">
        <x:f>IF(E198&gt;0,ABS(J198-E198),"")</x:f>
        <x:v>6.732947408494775</x:v>
      </x:c>
      <x:c r="M198" s="23" t="n">
        <x:v>0.764146089553833</x:v>
      </x:c>
      <x:c r="N198" s="20" t="n">
        <x:v>270</x:v>
      </x:c>
      <x:c r="O198" s="20" t="str">
        <x:v>yes</x:v>
      </x:c>
    </x:row>
    <x:row r="199">
      <x:c r="A199" s="20" t="str">
        <x:v>DQ24-TB3-TH6.csv</x:v>
      </x:c>
      <x:c r="B199" s="20" t="n">
        <x:v>4</x:v>
      </x:c>
      <x:c r="C199" s="20" t="str">
        <x:v>ternary</x:v>
      </x:c>
      <x:c r="D199" s="20" t="str">
        <x:v>THI</x:v>
      </x:c>
      <x:c r="E199" s="23" t="n">
        <x:v>6</x:v>
      </x:c>
      <x:c r="F199" s="23" t="n">
        <x:v>15.554107793205546</x:v>
      </x:c>
      <x:c r="G199" s="23" t="n">
        <x:v>5436.681992570968</x:v>
      </x:c>
      <x:c r="H199" s="23" t="n">
        <x:v>9.732638554092233</x:v>
      </x:c>
      <x:c r="I199" s="23" t="n">
        <x:v>9.152494360951637</x:v>
      </x:c>
      <x:c r="J199" s="23" t="n">
        <x:v>7.578396026537261</x:v>
      </x:c>
      <x:c r="K199" s="23" t="n">
        <x:f>IF(E199&gt;0,J199/E199*100,"")</x:f>
        <x:v>126.30660044228767</x:v>
      </x:c>
      <x:c r="L199" s="23" t="n">
        <x:f>IF(E199&gt;0,ABS(J199-E199),"")</x:f>
        <x:v>1.578396026537261</x:v>
      </x:c>
      <x:c r="M199" s="23" t="n">
        <x:v>-0.10865328460931778</x:v>
      </x:c>
      <x:c r="N199" s="20" t="n">
        <x:v>270</x:v>
      </x:c>
      <x:c r="O199" s="20" t="str">
        <x:v>yes</x:v>
      </x:c>
    </x:row>
    <x:row r="200">
      <x:c r="A200" s="20" t="str">
        <x:v>DQ3-TB12-TH3.csv</x:v>
      </x:c>
      <x:c r="B200" s="20" t="n">
        <x:v>4</x:v>
      </x:c>
      <x:c r="C200" s="20" t="str">
        <x:v>ternary</x:v>
      </x:c>
      <x:c r="D200" s="20" t="str">
        <x:v>DQ</x:v>
      </x:c>
      <x:c r="E200" s="23" t="n">
        <x:v>3</x:v>
      </x:c>
      <x:c r="F200" s="23" t="n">
        <x:v>14.942922447421042</x:v>
      </x:c>
      <x:c r="G200" s="23" t="n">
        <x:v>5439.435424082948</x:v>
      </x:c>
      <x:c r="H200" s="23" t="n">
        <x:v>4.886141340623858</x:v>
      </x:c>
      <x:c r="I200" s="23" t="n">
        <x:v>4.334200832851871</x:v>
      </x:c>
      <x:c r="J200" s="23" t="n">
        <x:v>5.8240237610105305</x:v>
      </x:c>
      <x:c r="K200" s="23" t="n">
        <x:f>IF(E200&gt;0,J200/E200*100,"")</x:f>
        <x:v>194.13412536701767</x:v>
      </x:c>
      <x:c r="L200" s="23" t="n">
        <x:f>IF(E200&gt;0,ABS(J200-E200),"")</x:f>
        <x:v>2.8240237610105305</x:v>
      </x:c>
      <x:c r="M200" s="23" t="n">
        <x:v>0.07625709474086761</x:v>
      </x:c>
      <x:c r="N200" s="20" t="n">
        <x:v>270</x:v>
      </x:c>
      <x:c r="O200" s="20" t="str">
        <x:v>yes</x:v>
      </x:c>
    </x:row>
    <x:row r="201">
      <x:c r="A201" s="20" t="str">
        <x:v>DQ3-TB12-TH3.csv</x:v>
      </x:c>
      <x:c r="B201" s="20" t="n">
        <x:v>4</x:v>
      </x:c>
      <x:c r="C201" s="20" t="str">
        <x:v>ternary</x:v>
      </x:c>
      <x:c r="D201" s="20" t="str">
        <x:v>TBZ</x:v>
      </x:c>
      <x:c r="E201" s="23" t="n">
        <x:v>12</x:v>
      </x:c>
      <x:c r="F201" s="23" t="n">
        <x:v>53.351776152916074</x:v>
      </x:c>
      <x:c r="G201" s="23" t="n">
        <x:v>1971.3341519683374</x:v>
      </x:c>
      <x:c r="H201" s="23" t="n">
        <x:v>2.5264193236501002</x:v>
      </x:c>
      <x:c r="I201" s="23" t="n">
        <x:v>8.79244395442393</x:v>
      </x:c>
      <x:c r="J201" s="23" t="n">
        <x:v>11.186324527205295</x:v>
      </x:c>
      <x:c r="K201" s="23" t="n">
        <x:f>IF(E201&gt;0,J201/E201*100,"")</x:f>
        <x:v>93.21937106004412</x:v>
      </x:c>
      <x:c r="L201" s="23" t="n">
        <x:f>IF(E201&gt;0,ABS(J201-E201),"")</x:f>
        <x:v>0.8136754727947046</x:v>
      </x:c>
      <x:c r="M201" s="23" t="n">
        <x:v>0.6461820006370544</x:v>
      </x:c>
      <x:c r="N201" s="20" t="n">
        <x:v>270</x:v>
      </x:c>
      <x:c r="O201" s="20" t="str">
        <x:v>yes</x:v>
      </x:c>
    </x:row>
    <x:row r="202">
      <x:c r="A202" s="20" t="str">
        <x:v>DQ3-TB12-TH3.csv</x:v>
      </x:c>
      <x:c r="B202" s="20" t="n">
        <x:v>4</x:v>
      </x:c>
      <x:c r="C202" s="20" t="str">
        <x:v>ternary</x:v>
      </x:c>
      <x:c r="D202" s="20" t="str">
        <x:v>THI</x:v>
      </x:c>
      <x:c r="E202" s="23" t="n">
        <x:v>3</x:v>
      </x:c>
      <x:c r="F202" s="23" t="n">
        <x:v>31.70530139956288</x:v>
      </x:c>
      <x:c r="G202" s="23" t="n">
        <x:v>3176.765621162277</x:v>
      </x:c>
      <x:c r="H202" s="23" t="n">
        <x:v>3.117704995477033</x:v>
      </x:c>
      <x:c r="I202" s="23" t="n">
        <x:v>4.690328291275083</x:v>
      </x:c>
      <x:c r="J202" s="23" t="n">
        <x:v>7.036451207065441</x:v>
      </x:c>
      <x:c r="K202" s="23" t="n">
        <x:f>IF(E202&gt;0,J202/E202*100,"")</x:f>
        <x:v>234.548373568848</x:v>
      </x:c>
      <x:c r="L202" s="23" t="n">
        <x:f>IF(E202&gt;0,ABS(J202-E202),"")</x:f>
        <x:v>4.036451207065441</x:v>
      </x:c>
      <x:c r="M202" s="23" t="n">
        <x:v>0.35351866483688354</x:v>
      </x:c>
      <x:c r="N202" s="20" t="n">
        <x:v>270</x:v>
      </x:c>
      <x:c r="O202" s="20" t="str">
        <x:v>yes</x:v>
      </x:c>
    </x:row>
    <x:row r="203">
      <x:c r="A203" s="20" t="str">
        <x:v>DQ3-TB12-TH6.csv</x:v>
      </x:c>
      <x:c r="B203" s="20" t="n">
        <x:v>4</x:v>
      </x:c>
      <x:c r="C203" s="20" t="str">
        <x:v>ternary</x:v>
      </x:c>
      <x:c r="D203" s="20" t="str">
        <x:v>DQ</x:v>
      </x:c>
      <x:c r="E203" s="23" t="n">
        <x:v>3</x:v>
      </x:c>
      <x:c r="F203" s="23" t="n">
        <x:v>21.83321202999639</x:v>
      </x:c>
      <x:c r="G203" s="23" t="n">
        <x:v>5111.410054213773</x:v>
      </x:c>
      <x:c r="H203" s="23" t="n">
        <x:v>4.150034109735132</x:v>
      </x:c>
      <x:c r="I203" s="23" t="n">
        <x:v>5.654353644544534</x:v>
      </x:c>
      <x:c r="J203" s="23" t="n">
        <x:v>5.464430970808179</x:v>
      </x:c>
      <x:c r="K203" s="23" t="n">
        <x:f>IF(E203&gt;0,J203/E203*100,"")</x:f>
        <x:v>182.1476990269393</x:v>
      </x:c>
      <x:c r="L203" s="23" t="n">
        <x:f>IF(E203&gt;0,ABS(J203-E203),"")</x:f>
        <x:v>2.464430970808179</x:v>
      </x:c>
      <x:c r="M203" s="23" t="n">
        <x:v>0.1194932758808136</x:v>
      </x:c>
      <x:c r="N203" s="20" t="n">
        <x:v>270</x:v>
      </x:c>
      <x:c r="O203" s="20" t="str">
        <x:v>yes</x:v>
      </x:c>
    </x:row>
    <x:row r="204">
      <x:c r="A204" s="20" t="str">
        <x:v>DQ3-TB12-TH6.csv</x:v>
      </x:c>
      <x:c r="B204" s="20" t="n">
        <x:v>4</x:v>
      </x:c>
      <x:c r="C204" s="20" t="str">
        <x:v>ternary</x:v>
      </x:c>
      <x:c r="D204" s="20" t="str">
        <x:v>TBZ</x:v>
      </x:c>
      <x:c r="E204" s="23" t="n">
        <x:v>12</x:v>
      </x:c>
      <x:c r="F204" s="23" t="n">
        <x:v>48.55171158219847</x:v>
      </x:c>
      <x:c r="G204" s="23" t="n">
        <x:v>1296.5167722048272</x:v>
      </x:c>
      <x:c r="H204" s="23" t="n">
        <x:v>1.681074292850763</x:v>
      </x:c>
      <x:c r="I204" s="23" t="n">
        <x:v>7.632850217932212</x:v>
      </x:c>
      <x:c r="J204" s="23" t="n">
        <x:v>7.256924229589796</x:v>
      </x:c>
      <x:c r="K204" s="23" t="n">
        <x:f>IF(E204&gt;0,J204/E204*100,"")</x:f>
        <x:v>60.47436857991496</x:v>
      </x:c>
      <x:c r="L204" s="23" t="n">
        <x:f>IF(E204&gt;0,ABS(J204-E204),"")</x:f>
        <x:v>4.743075770410204</x:v>
      </x:c>
      <x:c r="M204" s="23" t="n">
        <x:v>0.6351656913757324</x:v>
      </x:c>
      <x:c r="N204" s="20" t="n">
        <x:v>270</x:v>
      </x:c>
      <x:c r="O204" s="20" t="str">
        <x:v>yes</x:v>
      </x:c>
    </x:row>
    <x:row r="205">
      <x:c r="A205" s="20" t="str">
        <x:v>DQ3-TB12-TH6.csv</x:v>
      </x:c>
      <x:c r="B205" s="20" t="n">
        <x:v>4</x:v>
      </x:c>
      <x:c r="C205" s="20" t="str">
        <x:v>ternary</x:v>
      </x:c>
      <x:c r="D205" s="20" t="str">
        <x:v>THI</x:v>
      </x:c>
      <x:c r="E205" s="23" t="n">
        <x:v>6</x:v>
      </x:c>
      <x:c r="F205" s="23" t="n">
        <x:v>29.615076387705138</x:v>
      </x:c>
      <x:c r="G205" s="23" t="n">
        <x:v>3953.317132266641</x:v>
      </x:c>
      <x:c r="H205" s="23" t="n">
        <x:v>4.610192059580267</x:v>
      </x:c>
      <x:c r="I205" s="23" t="n">
        <x:v>6.139731513457125</x:v>
      </x:c>
      <x:c r="J205" s="23" t="n">
        <x:v>6.048913437005128</x:v>
      </x:c>
      <x:c r="K205" s="23" t="n">
        <x:f>IF(E205&gt;0,J205/E205*100,"")</x:f>
        <x:v>100.81522395008547</x:v>
      </x:c>
      <x:c r="L205" s="23" t="n">
        <x:f>IF(E205&gt;0,ABS(J205-E205),"")</x:f>
        <x:v>0.04891343700512785</x:v>
      </x:c>
      <x:c r="M205" s="23" t="n">
        <x:v>0.11795835196971893</x:v>
      </x:c>
      <x:c r="N205" s="20" t="n">
        <x:v>270</x:v>
      </x:c>
      <x:c r="O205" s="20" t="str">
        <x:v>yes</x:v>
      </x:c>
    </x:row>
    <x:row r="206">
      <x:c r="A206" s="20" t="str">
        <x:v>DQ3-TB24-TH3.csv</x:v>
      </x:c>
      <x:c r="B206" s="20" t="n">
        <x:v>4</x:v>
      </x:c>
      <x:c r="C206" s="20" t="str">
        <x:v>ternary</x:v>
      </x:c>
      <x:c r="D206" s="20" t="str">
        <x:v>DQ</x:v>
      </x:c>
      <x:c r="E206" s="23" t="n">
        <x:v>3</x:v>
      </x:c>
      <x:c r="F206" s="23" t="n">
        <x:v>16.899974639821515</x:v>
      </x:c>
      <x:c r="G206" s="23" t="n">
        <x:v>4168.209008179022</x:v>
      </x:c>
      <x:c r="H206" s="23" t="n">
        <x:v>2.5950467622195346</x:v>
      </x:c>
      <x:c r="I206" s="23" t="n">
        <x:v>6.768470987146511</x:v>
      </x:c>
      <x:c r="J206" s="23" t="n">
        <x:v>6.182342362309612</x:v>
      </x:c>
      <x:c r="K206" s="23" t="n">
        <x:f>IF(E206&gt;0,J206/E206*100,"")</x:f>
        <x:v>206.07807874365372</x:v>
      </x:c>
      <x:c r="L206" s="23" t="n">
        <x:f>IF(E206&gt;0,ABS(J206-E206),"")</x:f>
        <x:v>3.182342362309612</x:v>
      </x:c>
      <x:c r="M206" s="23" t="n">
        <x:v>0.3770078420639038</x:v>
      </x:c>
      <x:c r="N206" s="20" t="n">
        <x:v>270</x:v>
      </x:c>
      <x:c r="O206" s="20" t="str">
        <x:v>yes</x:v>
      </x:c>
    </x:row>
    <x:row r="207">
      <x:c r="A207" s="20" t="str">
        <x:v>DQ3-TB24-TH3.csv</x:v>
      </x:c>
      <x:c r="B207" s="20" t="n">
        <x:v>4</x:v>
      </x:c>
      <x:c r="C207" s="20" t="str">
        <x:v>ternary</x:v>
      </x:c>
      <x:c r="D207" s="20" t="str">
        <x:v>TBZ</x:v>
      </x:c>
      <x:c r="E207" s="23" t="n">
        <x:v>24</x:v>
      </x:c>
      <x:c r="F207" s="23" t="n">
        <x:v>56.14972158981978</x:v>
      </x:c>
      <x:c r="G207" s="23" t="n">
        <x:v>2034.1470369186106</x:v>
      </x:c>
      <x:c r="H207" s="23" t="n">
        <x:v>2.624056866755857</x:v>
      </x:c>
      <x:c r="I207" s="23" t="n">
        <x:v>15.67264631420953</x:v>
      </x:c>
      <x:c r="J207" s="23" t="n">
        <x:v>13.414166160347799</x:v>
      </x:c>
      <x:c r="K207" s="23" t="n">
        <x:f>IF(E207&gt;0,J207/E207*100,"")</x:f>
        <x:v>55.892359001449165</x:v>
      </x:c>
      <x:c r="L207" s="23" t="n">
        <x:f>IF(E207&gt;0,ABS(J207-E207),"")</x:f>
        <x:v>10.585833839652201</x:v>
      </x:c>
      <x:c r="M207" s="23" t="n">
        <x:v>0.7085904479026794</x:v>
      </x:c>
      <x:c r="N207" s="20" t="n">
        <x:v>270</x:v>
      </x:c>
      <x:c r="O207" s="20" t="str">
        <x:v>yes</x:v>
      </x:c>
    </x:row>
    <x:row r="208">
      <x:c r="A208" s="20" t="str">
        <x:v>DQ3-TB24-TH3.csv</x:v>
      </x:c>
      <x:c r="B208" s="20" t="n">
        <x:v>4</x:v>
      </x:c>
      <x:c r="C208" s="20" t="str">
        <x:v>ternary</x:v>
      </x:c>
      <x:c r="D208" s="20" t="str">
        <x:v>THI</x:v>
      </x:c>
      <x:c r="E208" s="23" t="n">
        <x:v>3</x:v>
      </x:c>
      <x:c r="F208" s="23" t="n">
        <x:v>26.9503037702587</x:v>
      </x:c>
      <x:c r="G208" s="23" t="n">
        <x:v>1453.8246805770732</x:v>
      </x:c>
      <x:c r="H208" s="23" t="n">
        <x:v>1.3089168362234893</x:v>
      </x:c>
      <x:c r="I208" s="23" t="n">
        <x:v>3.5768304278575505</x:v>
      </x:c>
      <x:c r="J208" s="23" t="n">
        <x:v>5.703728793462817</x:v>
      </x:c>
      <x:c r="K208" s="23" t="n">
        <x:f>IF(E208&gt;0,J208/E208*100,"")</x:f>
        <x:v>190.12429311542724</x:v>
      </x:c>
      <x:c r="L208" s="23" t="n">
        <x:f>IF(E208&gt;0,ABS(J208-E208),"")</x:f>
        <x:v>2.703728793462817</x:v>
      </x:c>
      <x:c r="M208" s="23" t="n">
        <x:v>0.6392468214035034</x:v>
      </x:c>
      <x:c r="N208" s="20" t="n">
        <x:v>270</x:v>
      </x:c>
      <x:c r="O208" s="20" t="str">
        <x:v>yes</x:v>
      </x:c>
    </x:row>
    <x:row r="209">
      <x:c r="A209" s="20" t="str">
        <x:v>DQ3-TB3-TH12.csv</x:v>
      </x:c>
      <x:c r="B209" s="20" t="n">
        <x:v>4</x:v>
      </x:c>
      <x:c r="C209" s="20" t="str">
        <x:v>ternary</x:v>
      </x:c>
      <x:c r="D209" s="20" t="str">
        <x:v>DQ</x:v>
      </x:c>
      <x:c r="E209" s="23" t="n">
        <x:v>3</x:v>
      </x:c>
      <x:c r="F209" s="23" t="n">
        <x:v>20.29920610175286</x:v>
      </x:c>
      <x:c r="G209" s="23" t="n">
        <x:v>4024.3887690534275</x:v>
      </x:c>
      <x:c r="H209" s="23" t="n">
        <x:v>2.4157574323788826</x:v>
      </x:c>
      <x:c r="I209" s="23" t="n">
        <x:v>7.712146994962587</x:v>
      </x:c>
      <x:c r="J209" s="23" t="n">
        <x:v>4.484142144253604</x:v>
      </x:c>
      <x:c r="K209" s="23" t="n">
        <x:f>IF(E209&gt;0,J209/E209*100,"")</x:f>
        <x:v>149.47140480845346</x:v>
      </x:c>
      <x:c r="L209" s="23" t="n">
        <x:f>IF(E209&gt;0,ABS(J209-E209),"")</x:f>
        <x:v>1.484142144253604</x:v>
      </x:c>
      <x:c r="M209" s="23" t="n">
        <x:v>0.26862603425979614</x:v>
      </x:c>
      <x:c r="N209" s="20" t="n">
        <x:v>270</x:v>
      </x:c>
      <x:c r="O209" s="20" t="str">
        <x:v>yes</x:v>
      </x:c>
    </x:row>
    <x:row r="210">
      <x:c r="A210" s="20" t="str">
        <x:v>DQ3-TB3-TH12.csv</x:v>
      </x:c>
      <x:c r="B210" s="20" t="n">
        <x:v>4</x:v>
      </x:c>
      <x:c r="C210" s="20" t="str">
        <x:v>ternary</x:v>
      </x:c>
      <x:c r="D210" s="20" t="str">
        <x:v>TBZ</x:v>
      </x:c>
      <x:c r="E210" s="23" t="n">
        <x:v>3</x:v>
      </x:c>
      <x:c r="F210" s="23" t="n">
        <x:v>34.819777925204015</x:v>
      </x:c>
      <x:c r="G210" s="23" t="n">
        <x:v>573.3285217259639</x:v>
      </x:c>
      <x:c r="H210" s="23" t="n">
        <x:v>1.0863927773218505</x:v>
      </x:c>
      <x:c r="I210" s="23" t="n">
        <x:v>7.7042098173350855</x:v>
      </x:c>
      <x:c r="J210" s="23" t="n">
        <x:v>6.2666343384362255</x:v>
      </x:c>
      <x:c r="K210" s="23" t="n">
        <x:f>IF(E210&gt;0,J210/E210*100,"")</x:f>
        <x:v>208.8878112812075</x:v>
      </x:c>
      <x:c r="L210" s="23" t="n">
        <x:f>IF(E210&gt;0,ABS(J210-E210),"")</x:f>
        <x:v>3.2666343384362255</x:v>
      </x:c>
      <x:c r="M210" s="23" t="n">
        <x:v>0.7610474824905396</x:v>
      </x:c>
      <x:c r="N210" s="20" t="n">
        <x:v>270</x:v>
      </x:c>
      <x:c r="O210" s="20" t="str">
        <x:v>yes</x:v>
      </x:c>
    </x:row>
    <x:row r="211">
      <x:c r="A211" s="20" t="str">
        <x:v>DQ3-TB3-TH12.csv</x:v>
      </x:c>
      <x:c r="B211" s="20" t="n">
        <x:v>4</x:v>
      </x:c>
      <x:c r="C211" s="20" t="str">
        <x:v>ternary</x:v>
      </x:c>
      <x:c r="D211" s="20" t="str">
        <x:v>THI</x:v>
      </x:c>
      <x:c r="E211" s="23" t="n">
        <x:v>12</x:v>
      </x:c>
      <x:c r="F211" s="23" t="n">
        <x:v>44.88101597294311</x:v>
      </x:c>
      <x:c r="G211" s="23" t="n">
        <x:v>7271.220199180588</x:v>
      </x:c>
      <x:c r="H211" s="23" t="n">
        <x:v>24.522648963043743</x:v>
      </x:c>
      <x:c r="I211" s="23" t="n">
        <x:v>18.135116182681653</x:v>
      </x:c>
      <x:c r="J211" s="23" t="n">
        <x:v>15.008818274519482</x:v>
      </x:c>
      <x:c r="K211" s="23" t="n">
        <x:f>IF(E211&gt;0,J211/E211*100,"")</x:f>
        <x:v>125.0734856209957</x:v>
      </x:c>
      <x:c r="L211" s="23" t="n">
        <x:f>IF(E211&gt;0,ABS(J211-E211),"")</x:f>
        <x:v>3.0088182745194825</x:v>
      </x:c>
      <x:c r="M211" s="23" t="n">
        <x:v>-0.21322089433670044</x:v>
      </x:c>
      <x:c r="N211" s="20" t="n">
        <x:v>270</x:v>
      </x:c>
      <x:c r="O211" s="20" t="str">
        <x:v>yes</x:v>
      </x:c>
    </x:row>
    <x:row r="212">
      <x:c r="A212" s="20" t="str">
        <x:v>DQ3-TB3-TH3.csv</x:v>
      </x:c>
      <x:c r="B212" s="20" t="n">
        <x:v>4</x:v>
      </x:c>
      <x:c r="C212" s="20" t="str">
        <x:v>ternary</x:v>
      </x:c>
      <x:c r="D212" s="20" t="str">
        <x:v>DQ</x:v>
      </x:c>
      <x:c r="E212" s="23" t="n">
        <x:v>3</x:v>
      </x:c>
      <x:c r="F212" s="23" t="n">
        <x:v>23.244046069111455</x:v>
      </x:c>
      <x:c r="G212" s="23" t="n">
        <x:v>3328.207143939503</x:v>
      </x:c>
      <x:c r="H212" s="23" t="n">
        <x:v>1.708239997578108</x:v>
      </x:c>
      <x:c r="I212" s="23" t="n">
        <x:v>9.377534005439331</x:v>
      </x:c>
      <x:c r="J212" s="23" t="n">
        <x:v>8.955732172819186</x:v>
      </x:c>
      <x:c r="K212" s="23" t="n">
        <x:f>IF(E212&gt;0,J212/E212*100,"")</x:f>
        <x:v>298.5244057606395</x:v>
      </x:c>
      <x:c r="L212" s="23" t="n">
        <x:f>IF(E212&gt;0,ABS(J212-E212),"")</x:f>
        <x:v>5.955732172819186</x:v>
      </x:c>
      <x:c r="M212" s="23" t="n">
        <x:v>0.719552218914032</x:v>
      </x:c>
      <x:c r="N212" s="20" t="n">
        <x:v>270</x:v>
      </x:c>
      <x:c r="O212" s="20" t="str">
        <x:v>yes</x:v>
      </x:c>
    </x:row>
    <x:row r="213">
      <x:c r="A213" s="20" t="str">
        <x:v>DQ3-TB3-TH3.csv</x:v>
      </x:c>
      <x:c r="B213" s="20" t="n">
        <x:v>4</x:v>
      </x:c>
      <x:c r="C213" s="20" t="str">
        <x:v>ternary</x:v>
      </x:c>
      <x:c r="D213" s="20" t="str">
        <x:v>TBZ</x:v>
      </x:c>
      <x:c r="E213" s="23" t="n">
        <x:v>3</x:v>
      </x:c>
      <x:c r="F213" s="23" t="n">
        <x:v>43.85150827647448</x:v>
      </x:c>
      <x:c r="G213" s="23" t="n">
        <x:v>810.3952393464265</x:v>
      </x:c>
      <x:c r="H213" s="23" t="n">
        <x:v>1.2535429894711725</x:v>
      </x:c>
      <x:c r="I213" s="23" t="n">
        <x:v>10.630759987629645</x:v>
      </x:c>
      <x:c r="J213" s="23" t="n">
        <x:v>11.272107946296352</x:v>
      </x:c>
      <x:c r="K213" s="23" t="n">
        <x:f>IF(E213&gt;0,J213/E213*100,"")</x:f>
        <x:v>375.7369315432117</x:v>
      </x:c>
      <x:c r="L213" s="23" t="n">
        <x:f>IF(E213&gt;0,ABS(J213-E213),"")</x:f>
        <x:v>8.272107946296352</x:v>
      </x:c>
      <x:c r="M213" s="23" t="n">
        <x:v>0.9538658857345581</x:v>
      </x:c>
      <x:c r="N213" s="20" t="n">
        <x:v>270</x:v>
      </x:c>
      <x:c r="O213" s="20" t="str">
        <x:v>yes</x:v>
      </x:c>
    </x:row>
    <x:row r="214">
      <x:c r="A214" s="20" t="str">
        <x:v>DQ3-TB3-TH3.csv</x:v>
      </x:c>
      <x:c r="B214" s="20" t="n">
        <x:v>4</x:v>
      </x:c>
      <x:c r="C214" s="20" t="str">
        <x:v>ternary</x:v>
      </x:c>
      <x:c r="D214" s="20" t="str">
        <x:v>THI</x:v>
      </x:c>
      <x:c r="E214" s="23" t="n">
        <x:v>3</x:v>
      </x:c>
      <x:c r="F214" s="23" t="n">
        <x:v>32.90444565431406</x:v>
      </x:c>
      <x:c r="G214" s="23" t="n">
        <x:v>1799.9382295307278</x:v>
      </x:c>
      <x:c r="H214" s="23" t="n">
        <x:v>1.5582256386579496</x:v>
      </x:c>
      <x:c r="I214" s="23" t="n">
        <x:v>5.731656838235273</x:v>
      </x:c>
      <x:c r="J214" s="23" t="n">
        <x:v>4.732871347926396</x:v>
      </x:c>
      <x:c r="K214" s="23" t="n">
        <x:f>IF(E214&gt;0,J214/E214*100,"")</x:f>
        <x:v>157.76237826421323</x:v>
      </x:c>
      <x:c r="L214" s="23" t="n">
        <x:f>IF(E214&gt;0,ABS(J214-E214),"")</x:f>
        <x:v>1.7328713479263964</x:v>
      </x:c>
      <x:c r="M214" s="23" t="n">
        <x:v>0.4824943542480469</x:v>
      </x:c>
      <x:c r="N214" s="20" t="n">
        <x:v>270</x:v>
      </x:c>
      <x:c r="O214" s="20" t="str">
        <x:v>yes</x:v>
      </x:c>
    </x:row>
    <x:row r="215">
      <x:c r="A215" s="20" t="str">
        <x:v>DQ3-TB6-TH3.csv</x:v>
      </x:c>
      <x:c r="B215" s="20" t="n">
        <x:v>4</x:v>
      </x:c>
      <x:c r="C215" s="20" t="str">
        <x:v>ternary</x:v>
      </x:c>
      <x:c r="D215" s="20" t="str">
        <x:v>DQ</x:v>
      </x:c>
      <x:c r="E215" s="23" t="n">
        <x:v>3</x:v>
      </x:c>
      <x:c r="F215" s="23" t="n">
        <x:v>24.634152117153178</x:v>
      </x:c>
      <x:c r="G215" s="23" t="n">
        <x:v>2184.2017566290433</x:v>
      </x:c>
      <x:c r="H215" s="23" t="n">
        <x:v>0.9665657514108676</x:v>
      </x:c>
      <x:c r="I215" s="23" t="n">
        <x:v>8.926939297971613</x:v>
      </x:c>
      <x:c r="J215" s="23" t="n">
        <x:v>4.449532326828809</x:v>
      </x:c>
      <x:c r="K215" s="23" t="n">
        <x:f>IF(E215&gt;0,J215/E215*100,"")</x:f>
        <x:v>148.31774422762695</x:v>
      </x:c>
      <x:c r="L215" s="23" t="n">
        <x:f>IF(E215&gt;0,ABS(J215-E215),"")</x:f>
        <x:v>1.449532326828809</x:v>
      </x:c>
      <x:c r="M215" s="23" t="n">
        <x:v>0.6630829572677612</x:v>
      </x:c>
      <x:c r="N215" s="20" t="n">
        <x:v>270</x:v>
      </x:c>
      <x:c r="O215" s="20" t="str">
        <x:v>yes</x:v>
      </x:c>
    </x:row>
    <x:row r="216">
      <x:c r="A216" s="20" t="str">
        <x:v>DQ3-TB6-TH3.csv</x:v>
      </x:c>
      <x:c r="B216" s="20" t="n">
        <x:v>4</x:v>
      </x:c>
      <x:c r="C216" s="20" t="str">
        <x:v>ternary</x:v>
      </x:c>
      <x:c r="D216" s="20" t="str">
        <x:v>TBZ</x:v>
      </x:c>
      <x:c r="E216" s="23" t="n">
        <x:v>6</x:v>
      </x:c>
      <x:c r="F216" s="23" t="n">
        <x:v>51.33551007424828</x:v>
      </x:c>
      <x:c r="G216" s="23" t="n">
        <x:v>1469.2663371933304</x:v>
      </x:c>
      <x:c r="H216" s="23" t="n">
        <x:v>1.8658515346067326</x:v>
      </x:c>
      <x:c r="I216" s="23" t="n">
        <x:v>20.505236527253608</x:v>
      </x:c>
      <x:c r="J216" s="23" t="n">
        <x:v>10.10837172451897</x:v>
      </x:c>
      <x:c r="K216" s="23" t="n">
        <x:f>IF(E216&gt;0,J216/E216*100,"")</x:f>
        <x:v>168.47286207531616</x:v>
      </x:c>
      <x:c r="L216" s="23" t="n">
        <x:f>IF(E216&gt;0,ABS(J216-E216),"")</x:f>
        <x:v>4.108371724518969</x:v>
      </x:c>
      <x:c r="M216" s="23" t="n">
        <x:v>0.7338041067123413</x:v>
      </x:c>
      <x:c r="N216" s="20" t="n">
        <x:v>270</x:v>
      </x:c>
      <x:c r="O216" s="20" t="str">
        <x:v>yes</x:v>
      </x:c>
    </x:row>
    <x:row r="217">
      <x:c r="A217" s="20" t="str">
        <x:v>DQ3-TB6-TH3.csv</x:v>
      </x:c>
      <x:c r="B217" s="20" t="n">
        <x:v>4</x:v>
      </x:c>
      <x:c r="C217" s="20" t="str">
        <x:v>ternary</x:v>
      </x:c>
      <x:c r="D217" s="20" t="str">
        <x:v>THI</x:v>
      </x:c>
      <x:c r="E217" s="23" t="n">
        <x:v>3</x:v>
      </x:c>
      <x:c r="F217" s="23" t="n">
        <x:v>24.03033780849854</x:v>
      </x:c>
      <x:c r="G217" s="23" t="n">
        <x:v>1615.7445166308853</x:v>
      </x:c>
      <x:c r="H217" s="23" t="n">
        <x:v>1.420151912720394</x:v>
      </x:c>
      <x:c r="I217" s="23" t="n">
        <x:v>6.202023047650066</x:v>
      </x:c>
      <x:c r="J217" s="23" t="n">
        <x:v>7.587375880928354</x:v>
      </x:c>
      <x:c r="K217" s="23" t="n">
        <x:f>IF(E217&gt;0,J217/E217*100,"")</x:f>
        <x:v>252.91252936427847</x:v>
      </x:c>
      <x:c r="L217" s="23" t="n">
        <x:f>IF(E217&gt;0,ABS(J217-E217),"")</x:f>
        <x:v>4.587375880928354</x:v>
      </x:c>
      <x:c r="M217" s="23" t="n">
        <x:v>0.7277567982673645</x:v>
      </x:c>
      <x:c r="N217" s="20" t="n">
        <x:v>270</x:v>
      </x:c>
      <x:c r="O217" s="20" t="str">
        <x:v>yes</x:v>
      </x:c>
    </x:row>
    <x:row r="218">
      <x:c r="A218" s="20" t="str">
        <x:v>DQ6-TB3-TH3.csv</x:v>
      </x:c>
      <x:c r="B218" s="20" t="n">
        <x:v>4</x:v>
      </x:c>
      <x:c r="C218" s="20" t="str">
        <x:v>ternary</x:v>
      </x:c>
      <x:c r="D218" s="20" t="str">
        <x:v>DQ</x:v>
      </x:c>
      <x:c r="E218" s="23" t="n">
        <x:v>6</x:v>
      </x:c>
      <x:c r="F218" s="23" t="n">
        <x:v>36.14025430891806</x:v>
      </x:c>
      <x:c r="G218" s="23" t="n">
        <x:v>3152.3994640620385</x:v>
      </x:c>
      <x:c r="H218" s="23" t="n">
        <x:v>1.565098945337344</x:v>
      </x:c>
      <x:c r="I218" s="23" t="n">
        <x:v>13.57449060516595</x:v>
      </x:c>
      <x:c r="J218" s="23" t="n">
        <x:v>7.287924816680381</x:v>
      </x:c>
      <x:c r="K218" s="23" t="n">
        <x:f>IF(E218&gt;0,J218/E218*100,"")</x:f>
        <x:v>121.46541361133968</x:v>
      </x:c>
      <x:c r="L218" s="23" t="n">
        <x:f>IF(E218&gt;0,ABS(J218-E218),"")</x:f>
        <x:v>1.2879248166803814</x:v>
      </x:c>
      <x:c r="M218" s="23" t="n">
        <x:v>0.6680620908737183</x:v>
      </x:c>
      <x:c r="N218" s="20" t="n">
        <x:v>270</x:v>
      </x:c>
      <x:c r="O218" s="20" t="str">
        <x:v>yes</x:v>
      </x:c>
    </x:row>
    <x:row r="219">
      <x:c r="A219" s="20" t="str">
        <x:v>DQ6-TB3-TH3.csv</x:v>
      </x:c>
      <x:c r="B219" s="20" t="n">
        <x:v>4</x:v>
      </x:c>
      <x:c r="C219" s="20" t="str">
        <x:v>ternary</x:v>
      </x:c>
      <x:c r="D219" s="20" t="str">
        <x:v>TBZ</x:v>
      </x:c>
      <x:c r="E219" s="23" t="n">
        <x:v>3</x:v>
      </x:c>
      <x:c r="F219" s="23" t="n">
        <x:v>32.439010258034976</x:v>
      </x:c>
      <x:c r="G219" s="23" t="n">
        <x:v>849.3957430070042</x:v>
      </x:c>
      <x:c r="H219" s="23" t="n">
        <x:v>1.283406073261022</x:v>
      </x:c>
      <x:c r="I219" s="23" t="n">
        <x:v>8.880545198423164</x:v>
      </x:c>
      <x:c r="J219" s="23" t="n">
        <x:v>5.899742602435008</x:v>
      </x:c>
      <x:c r="K219" s="23" t="n">
        <x:f>IF(E219&gt;0,J219/E219*100,"")</x:f>
        <x:v>196.6580867478336</x:v>
      </x:c>
      <x:c r="L219" s="23" t="n">
        <x:f>IF(E219&gt;0,ABS(J219-E219),"")</x:f>
        <x:v>2.8997426024350084</x:v>
      </x:c>
      <x:c r="M219" s="23" t="n">
        <x:v>0.6624689698219299</x:v>
      </x:c>
      <x:c r="N219" s="20" t="n">
        <x:v>270</x:v>
      </x:c>
      <x:c r="O219" s="20" t="str">
        <x:v>yes</x:v>
      </x:c>
    </x:row>
    <x:row r="220">
      <x:c r="A220" s="20" t="str">
        <x:v>DQ6-TB3-TH3.csv</x:v>
      </x:c>
      <x:c r="B220" s="20" t="n">
        <x:v>4</x:v>
      </x:c>
      <x:c r="C220" s="20" t="str">
        <x:v>ternary</x:v>
      </x:c>
      <x:c r="D220" s="20" t="str">
        <x:v>THI</x:v>
      </x:c>
      <x:c r="E220" s="23" t="n">
        <x:v>3</x:v>
      </x:c>
      <x:c r="F220" s="23" t="n">
        <x:v>31.420735432946973</x:v>
      </x:c>
      <x:c r="G220" s="23" t="n">
        <x:v>1282.3176894597077</x:v>
      </x:c>
      <x:c r="H220" s="23" t="n">
        <x:v>1.2005823371407691</x:v>
      </x:c>
      <x:c r="I220" s="23" t="n">
        <x:v>4.09203375115748</x:v>
      </x:c>
      <x:c r="J220" s="23" t="n">
        <x:v>4.479838350080703</x:v>
      </x:c>
      <x:c r="K220" s="23" t="n">
        <x:f>IF(E220&gt;0,J220/E220*100,"")</x:f>
        <x:v>149.32794500269011</x:v>
      </x:c>
      <x:c r="L220" s="23" t="n">
        <x:f>IF(E220&gt;0,ABS(J220-E220),"")</x:f>
        <x:v>1.479838350080703</x:v>
      </x:c>
      <x:c r="M220" s="23" t="n">
        <x:v>0.5718703866004944</x:v>
      </x:c>
      <x:c r="N220" s="20" t="n">
        <x:v>270</x:v>
      </x:c>
      <x:c r="O220" s="20" t="str">
        <x:v>yes</x:v>
      </x:c>
    </x:row>
    <x:row r="221">
      <x:c r="A221" s="20" t="str">
        <x:v>DQ0-TB150-TH50.csv</x:v>
      </x:c>
      <x:c r="B221" s="20" t="n">
        <x:v>5</x:v>
      </x:c>
      <x:c r="C221" s="20" t="str">
        <x:v>binary</x:v>
      </x:c>
      <x:c r="D221" s="20" t="str">
        <x:v>DQ</x:v>
      </x:c>
      <x:c r="E221" s="23" t="n">
        <x:v>0</x:v>
      </x:c>
      <x:c r="F221" s="23" t="n">
        <x:v>25.4367984177653</x:v>
      </x:c>
      <x:c r="G221" s="23" t="n">
        <x:v>2728.0090794990556</x:v>
      </x:c>
      <x:c r="H221" s="23" t="n">
        <x:v>1.2670527958554452</x:v>
      </x:c>
      <x:c r="I221" s="23" t="n">
        <x:v>4.785416245691473</x:v>
      </x:c>
      <x:c r="J221" s="23" t="n">
        <x:v>6.566512448897394</x:v>
      </x:c>
      <x:c r="K221" s="23" t="str">
        <x:f>IF(E221&gt;0,J221/E221*100,"")</x:f>
      </x:c>
      <x:c r="L221" s="23" t="str">
        <x:f>IF(E221&gt;0,ABS(J221-E221),"")</x:f>
      </x:c>
      <x:c r="M221" s="23" t="n">
        <x:v>0.7145400643348694</x:v>
      </x:c>
      <x:c r="N221" s="20" t="n">
        <x:v>242</x:v>
      </x:c>
      <x:c r="O221" s="20" t="str">
        <x:v>no</x:v>
      </x:c>
    </x:row>
    <x:row r="222">
      <x:c r="A222" s="20" t="str">
        <x:v>DQ0-TB150-TH50.csv</x:v>
      </x:c>
      <x:c r="B222" s="20" t="n">
        <x:v>5</x:v>
      </x:c>
      <x:c r="C222" s="20" t="str">
        <x:v>binary</x:v>
      </x:c>
      <x:c r="D222" s="20" t="str">
        <x:v>TBZ</x:v>
      </x:c>
      <x:c r="E222" s="23" t="n">
        <x:v>150</x:v>
      </x:c>
      <x:c r="F222" s="23" t="n">
        <x:v>41.111972187080795</x:v>
      </x:c>
      <x:c r="G222" s="23" t="n">
        <x:v>2206.67039801542</x:v>
      </x:c>
      <x:c r="H222" s="23" t="n">
        <x:v>2.9120854554501974</x:v>
      </x:c>
      <x:c r="I222" s="23" t="n">
        <x:v>11.994556973249113</x:v>
      </x:c>
      <x:c r="J222" s="23" t="n">
        <x:v>14.756490708975415</x:v>
      </x:c>
      <x:c r="K222" s="23" t="n">
        <x:f>IF(E222&gt;0,J222/E222*100,"")</x:f>
        <x:v>9.837660472650276</x:v>
      </x:c>
      <x:c r="L222" s="23" t="n">
        <x:f>IF(E222&gt;0,ABS(J222-E222),"")</x:f>
        <x:v>135.2435092910246</x:v>
      </x:c>
      <x:c r="M222" s="23" t="n">
        <x:v>0.7047789692878723</x:v>
      </x:c>
      <x:c r="N222" s="20" t="n">
        <x:v>242</x:v>
      </x:c>
      <x:c r="O222" s="20" t="str">
        <x:v>no</x:v>
      </x:c>
    </x:row>
    <x:row r="223">
      <x:c r="A223" s="20" t="str">
        <x:v>DQ0-TB150-TH50.csv</x:v>
      </x:c>
      <x:c r="B223" s="20" t="n">
        <x:v>5</x:v>
      </x:c>
      <x:c r="C223" s="20" t="str">
        <x:v>binary</x:v>
      </x:c>
      <x:c r="D223" s="20" t="str">
        <x:v>THI</x:v>
      </x:c>
      <x:c r="E223" s="23" t="n">
        <x:v>50</x:v>
      </x:c>
      <x:c r="F223" s="23" t="n">
        <x:v>33.451229395053886</x:v>
      </x:c>
      <x:c r="G223" s="23" t="n">
        <x:v>4728.190697415946</x:v>
      </x:c>
      <x:c r="H223" s="23" t="n">
        <x:v>6.81139299514369</x:v>
      </x:c>
      <x:c r="I223" s="23" t="n">
        <x:v>11.949579877486698</x:v>
      </x:c>
      <x:c r="J223" s="23" t="n">
        <x:v>11.41303079525003</x:v>
      </x:c>
      <x:c r="K223" s="23" t="n">
        <x:f>IF(E223&gt;0,J223/E223*100,"")</x:f>
        <x:v>22.82606159050006</x:v>
      </x:c>
      <x:c r="L223" s="23" t="n">
        <x:f>IF(E223&gt;0,ABS(J223-E223),"")</x:f>
        <x:v>38.58696920474997</x:v>
      </x:c>
      <x:c r="M223" s="23" t="n">
        <x:v>0.22416505217552185</x:v>
      </x:c>
      <x:c r="N223" s="20" t="n">
        <x:v>242</x:v>
      </x:c>
      <x:c r="O223" s="20" t="str">
        <x:v>no</x:v>
      </x:c>
    </x:row>
    <x:row r="224">
      <x:c r="A224" s="20" t="str">
        <x:v>DQ0-TB250-TH50.csv</x:v>
      </x:c>
      <x:c r="B224" s="20" t="n">
        <x:v>5</x:v>
      </x:c>
      <x:c r="C224" s="20" t="str">
        <x:v>binary</x:v>
      </x:c>
      <x:c r="D224" s="20" t="str">
        <x:v>DQ</x:v>
      </x:c>
      <x:c r="E224" s="23" t="n">
        <x:v>0</x:v>
      </x:c>
      <x:c r="F224" s="23" t="n">
        <x:v>21.68223146274487</x:v>
      </x:c>
      <x:c r="G224" s="23" t="n">
        <x:v>2120.983813175559</x:v>
      </x:c>
      <x:c r="H224" s="23" t="n">
        <x:v>0.9366225163019763</x:v>
      </x:c>
      <x:c r="I224" s="23" t="n">
        <x:v>13.313785190475151</x:v>
      </x:c>
      <x:c r="J224" s="23" t="n">
        <x:v>19.034159368184635</x:v>
      </x:c>
      <x:c r="K224" s="23" t="str">
        <x:f>IF(E224&gt;0,J224/E224*100,"")</x:f>
      </x:c>
      <x:c r="L224" s="23" t="str">
        <x:f>IF(E224&gt;0,ABS(J224-E224),"")</x:f>
      </x:c>
      <x:c r="M224" s="23" t="n">
        <x:v>1.307969093322754</x:v>
      </x:c>
      <x:c r="N224" s="20" t="n">
        <x:v>242</x:v>
      </x:c>
      <x:c r="O224" s="20" t="str">
        <x:v>no</x:v>
      </x:c>
    </x:row>
    <x:row r="225">
      <x:c r="A225" s="20" t="str">
        <x:v>DQ0-TB250-TH50.csv</x:v>
      </x:c>
      <x:c r="B225" s="20" t="n">
        <x:v>5</x:v>
      </x:c>
      <x:c r="C225" s="20" t="str">
        <x:v>binary</x:v>
      </x:c>
      <x:c r="D225" s="20" t="str">
        <x:v>TBZ</x:v>
      </x:c>
      <x:c r="E225" s="23" t="n">
        <x:v>250</x:v>
      </x:c>
      <x:c r="F225" s="23" t="n">
        <x:v>29.883248239034742</x:v>
      </x:c>
      <x:c r="G225" s="23" t="n">
        <x:v>1710.906387608343</x:v>
      </x:c>
      <x:c r="H225" s="23" t="n">
        <x:v>2.1588797301431044</x:v>
      </x:c>
      <x:c r="I225" s="23" t="n">
        <x:v>28.815537426208856</x:v>
      </x:c>
      <x:c r="J225" s="23" t="n">
        <x:v>30.539205693598536</x:v>
      </x:c>
      <x:c r="K225" s="23" t="n">
        <x:f>IF(E225&gt;0,J225/E225*100,"")</x:f>
        <x:v>12.215682277439415</x:v>
      </x:c>
      <x:c r="L225" s="23" t="n">
        <x:f>IF(E225&gt;0,ABS(J225-E225),"")</x:f>
        <x:v>219.46079430640145</x:v>
      </x:c>
      <x:c r="M225" s="23" t="n">
        <x:v>1.1506292819976807</x:v>
      </x:c>
      <x:c r="N225" s="20" t="n">
        <x:v>242</x:v>
      </x:c>
      <x:c r="O225" s="20" t="str">
        <x:v>no</x:v>
      </x:c>
    </x:row>
    <x:row r="226">
      <x:c r="A226" s="20" t="str">
        <x:v>DQ0-TB250-TH50.csv</x:v>
      </x:c>
      <x:c r="B226" s="20" t="n">
        <x:v>5</x:v>
      </x:c>
      <x:c r="C226" s="20" t="str">
        <x:v>binary</x:v>
      </x:c>
      <x:c r="D226" s="20" t="str">
        <x:v>THI</x:v>
      </x:c>
      <x:c r="E226" s="23" t="n">
        <x:v>50</x:v>
      </x:c>
      <x:c r="F226" s="23" t="n">
        <x:v>48.43452029812039</x:v>
      </x:c>
      <x:c r="G226" s="23" t="n">
        <x:v>10059.629236850453</x:v>
      </x:c>
      <x:c r="H226" s="23" t="n">
        <x:v>99.90329636324081</x:v>
      </x:c>
      <x:c r="I226" s="23" t="n">
        <x:v>62.364166524678296</x:v>
      </x:c>
      <x:c r="J226" s="23" t="n">
        <x:v>63.7934090213996</x:v>
      </x:c>
      <x:c r="K226" s="23" t="n">
        <x:f>IF(E226&gt;0,J226/E226*100,"")</x:f>
        <x:v>127.5868180427992</x:v>
      </x:c>
      <x:c r="L226" s="23" t="n">
        <x:f>IF(E226&gt;0,ABS(J226-E226),"")</x:f>
        <x:v>13.793409021399597</x:v>
      </x:c>
      <x:c r="M226" s="23" t="n">
        <x:v>-0.19480402767658234</x:v>
      </x:c>
      <x:c r="N226" s="20" t="n">
        <x:v>242</x:v>
      </x:c>
      <x:c r="O226" s="20" t="str">
        <x:v>no</x:v>
      </x:c>
    </x:row>
    <x:row r="227">
      <x:c r="A227" s="20" t="str">
        <x:v>DQ0-TB50-TH150.csv</x:v>
      </x:c>
      <x:c r="B227" s="20" t="n">
        <x:v>5</x:v>
      </x:c>
      <x:c r="C227" s="20" t="str">
        <x:v>binary</x:v>
      </x:c>
      <x:c r="D227" s="20" t="str">
        <x:v>DQ</x:v>
      </x:c>
      <x:c r="E227" s="23" t="n">
        <x:v>0</x:v>
      </x:c>
      <x:c r="F227" s="23" t="n">
        <x:v>17.176974378355162</x:v>
      </x:c>
      <x:c r="G227" s="23" t="n">
        <x:v>669.6467451036752</x:v>
      </x:c>
      <x:c r="H227" s="23" t="n">
        <x:v>0.45478531015458845</x:v>
      </x:c>
      <x:c r="I227" s="23" t="n">
        <x:v>45.47853101545884</x:v>
      </x:c>
      <x:c r="J227" s="23" t="n">
        <x:v>45.47853101545884</x:v>
      </x:c>
      <x:c r="K227" s="23" t="str">
        <x:f>IF(E227&gt;0,J227/E227*100,"")</x:f>
      </x:c>
      <x:c r="L227" s="23" t="str">
        <x:f>IF(E227&gt;0,ABS(J227-E227),"")</x:f>
      </x:c>
      <x:c r="M227" s="23" t="n">
        <x:v>2.291790008544922</x:v>
      </x:c>
      <x:c r="N227" s="20" t="n">
        <x:v>242</x:v>
      </x:c>
      <x:c r="O227" s="20" t="str">
        <x:v>no</x:v>
      </x:c>
    </x:row>
    <x:row r="228">
      <x:c r="A228" s="20" t="str">
        <x:v>DQ0-TB50-TH150.csv</x:v>
      </x:c>
      <x:c r="B228" s="20" t="n">
        <x:v>5</x:v>
      </x:c>
      <x:c r="C228" s="20" t="str">
        <x:v>binary</x:v>
      </x:c>
      <x:c r="D228" s="20" t="str">
        <x:v>TBZ</x:v>
      </x:c>
      <x:c r="E228" s="23" t="n">
        <x:v>50</x:v>
      </x:c>
      <x:c r="F228" s="23" t="n">
        <x:v>51.021483726127535</x:v>
      </x:c>
      <x:c r="G228" s="23" t="n">
        <x:v>570.7893516904522</x:v>
      </x:c>
      <x:c r="H228" s="23" t="n">
        <x:v>1.0847287954451554</x:v>
      </x:c>
      <x:c r="I228" s="23" t="n">
        <x:v>108.47287954451555</x:v>
      </x:c>
      <x:c r="J228" s="23" t="n">
        <x:v>108.47287954451555</x:v>
      </x:c>
      <x:c r="K228" s="23" t="n">
        <x:f>IF(E228&gt;0,J228/E228*100,"")</x:f>
        <x:v>216.9457590890311</x:v>
      </x:c>
      <x:c r="L228" s="23" t="n">
        <x:f>IF(E228&gt;0,ABS(J228-E228),"")</x:f>
        <x:v>58.47287954451555</x:v>
      </x:c>
      <x:c r="M228" s="23" t="n">
        <x:v>2.6151628494262695</x:v>
      </x:c>
      <x:c r="N228" s="20" t="n">
        <x:v>242</x:v>
      </x:c>
      <x:c r="O228" s="20" t="str">
        <x:v>no</x:v>
      </x:c>
    </x:row>
    <x:row r="229">
      <x:c r="A229" s="20" t="str">
        <x:v>DQ0-TB50-TH150.csv</x:v>
      </x:c>
      <x:c r="B229" s="20" t="n">
        <x:v>5</x:v>
      </x:c>
      <x:c r="C229" s="20" t="str">
        <x:v>binary</x:v>
      </x:c>
      <x:c r="D229" s="20" t="str">
        <x:v>THI</x:v>
      </x:c>
      <x:c r="E229" s="23" t="n">
        <x:v>150</x:v>
      </x:c>
      <x:c r="F229" s="23" t="n">
        <x:v>31.801541895417294</x:v>
      </x:c>
      <x:c r="G229" s="23" t="n">
        <x:v>9097.369760302241</x:v>
      </x:c>
      <x:c r="H229" s="23" t="n">
        <x:v>61.52746288820612</x:v>
      </x:c>
      <x:c r="I229" s="23" t="n">
        <x:v>158.4200518251779</x:v>
      </x:c>
      <x:c r="J229" s="23" t="n">
        <x:v>276.0134051536337</x:v>
      </x:c>
      <x:c r="K229" s="23" t="n">
        <x:f>IF(E229&gt;0,J229/E229*100,"")</x:f>
        <x:v>184.00893676908913</x:v>
      </x:c>
      <x:c r="L229" s="23" t="n">
        <x:f>IF(E229&gt;0,ABS(J229-E229),"")</x:f>
        <x:v>126.0134051536337</x:v>
      </x:c>
      <x:c r="M229" s="23" t="n">
        <x:v>0.6518611907958984</x:v>
      </x:c>
      <x:c r="N229" s="20" t="n">
        <x:v>242</x:v>
      </x:c>
      <x:c r="O229" s="20" t="str">
        <x:v>no</x:v>
      </x:c>
    </x:row>
    <x:row r="230">
      <x:c r="A230" s="20" t="str">
        <x:v>DQ12-TB24-TH3.csv</x:v>
      </x:c>
      <x:c r="B230" s="20" t="n">
        <x:v>5</x:v>
      </x:c>
      <x:c r="C230" s="20" t="str">
        <x:v>ternary</x:v>
      </x:c>
      <x:c r="D230" s="20" t="str">
        <x:v>DQ</x:v>
      </x:c>
      <x:c r="E230" s="23" t="n">
        <x:v>12</x:v>
      </x:c>
      <x:c r="F230" s="23" t="n">
        <x:v>48.817174754067004</x:v>
      </x:c>
      <x:c r="G230" s="23" t="n">
        <x:v>2610.823858002095</x:v>
      </x:c>
      <x:c r="H230" s="23" t="n">
        <x:v>1.1952560616507895</x:v>
      </x:c>
      <x:c r="I230" s="23" t="n">
        <x:v>14.084101137810954</x:v>
      </x:c>
      <x:c r="J230" s="23" t="n">
        <x:v>8.311696089716794</x:v>
      </x:c>
      <x:c r="K230" s="23" t="n">
        <x:f>IF(E230&gt;0,J230/E230*100,"")</x:f>
        <x:v>69.26413408097328</x:v>
      </x:c>
      <x:c r="L230" s="23" t="n">
        <x:f>IF(E230&gt;0,ABS(J230-E230),"")</x:f>
        <x:v>3.6883039102832065</x:v>
      </x:c>
      <x:c r="M230" s="23" t="n">
        <x:v>0.8422287106513977</x:v>
      </x:c>
      <x:c r="N230" s="20" t="n">
        <x:v>242</x:v>
      </x:c>
      <x:c r="O230" s="20" t="str">
        <x:v>yes</x:v>
      </x:c>
    </x:row>
    <x:row r="231">
      <x:c r="A231" s="20" t="str">
        <x:v>DQ12-TB24-TH3.csv</x:v>
      </x:c>
      <x:c r="B231" s="20" t="n">
        <x:v>5</x:v>
      </x:c>
      <x:c r="C231" s="20" t="str">
        <x:v>ternary</x:v>
      </x:c>
      <x:c r="D231" s="20" t="str">
        <x:v>TBZ</x:v>
      </x:c>
      <x:c r="E231" s="23" t="n">
        <x:v>24</x:v>
      </x:c>
      <x:c r="F231" s="23" t="n">
        <x:v>31.278938727979323</x:v>
      </x:c>
      <x:c r="G231" s="23" t="n">
        <x:v>1650.5824050308133</x:v>
      </x:c>
      <x:c r="H231" s="23" t="n">
        <x:v>2.0816761298257345</x:v>
      </x:c>
      <x:c r="I231" s="23" t="n">
        <x:v>10.663179452498719</x:v>
      </x:c>
      <x:c r="J231" s="23" t="n">
        <x:v>6.092150931162794</x:v>
      </x:c>
      <x:c r="K231" s="23" t="n">
        <x:f>IF(E231&gt;0,J231/E231*100,"")</x:f>
        <x:v>25.383962213178307</x:v>
      </x:c>
      <x:c r="L231" s="23" t="n">
        <x:f>IF(E231&gt;0,ABS(J231-E231),"")</x:f>
        <x:v>17.907849068837205</x:v>
      </x:c>
      <x:c r="M231" s="23" t="n">
        <x:v>0.4663574993610382</x:v>
      </x:c>
      <x:c r="N231" s="20" t="n">
        <x:v>242</x:v>
      </x:c>
      <x:c r="O231" s="20" t="str">
        <x:v>yes</x:v>
      </x:c>
    </x:row>
    <x:row r="232">
      <x:c r="A232" s="20" t="str">
        <x:v>DQ12-TB24-TH3.csv</x:v>
      </x:c>
      <x:c r="B232" s="20" t="n">
        <x:v>5</x:v>
      </x:c>
      <x:c r="C232" s="20" t="str">
        <x:v>ternary</x:v>
      </x:c>
      <x:c r="D232" s="20" t="str">
        <x:v>THI</x:v>
      </x:c>
      <x:c r="E232" s="23" t="n">
        <x:v>3</x:v>
      </x:c>
      <x:c r="F232" s="23" t="n">
        <x:v>19.90388651785367</x:v>
      </x:c>
      <x:c r="G232" s="23" t="n">
        <x:v>961.8654390460088</x:v>
      </x:c>
      <x:c r="H232" s="23" t="n">
        <x:v>1.0216155819784103</x:v>
      </x:c>
      <x:c r="I232" s="23" t="n">
        <x:v>3.3569339383580936</x:v>
      </x:c>
      <x:c r="J232" s="23" t="n">
        <x:v>2.8083874523777523</x:v>
      </x:c>
      <x:c r="K232" s="23" t="n">
        <x:f>IF(E232&gt;0,J232/E232*100,"")</x:f>
        <x:v>93.61291507925841</x:v>
      </x:c>
      <x:c r="L232" s="23" t="n">
        <x:f>IF(E232&gt;0,ABS(J232-E232),"")</x:f>
        <x:v>0.19161254762224766</x:v>
      </x:c>
      <x:c r="M232" s="23" t="n">
        <x:v>0.4391695261001587</x:v>
      </x:c>
      <x:c r="N232" s="20" t="n">
        <x:v>242</x:v>
      </x:c>
      <x:c r="O232" s="20" t="str">
        <x:v>yes</x:v>
      </x:c>
    </x:row>
    <x:row r="233">
      <x:c r="A233" s="20" t="str">
        <x:v>DQ150-TB50-TH0.csv</x:v>
      </x:c>
      <x:c r="B233" s="20" t="n">
        <x:v>5</x:v>
      </x:c>
      <x:c r="C233" s="20" t="str">
        <x:v>binary</x:v>
      </x:c>
      <x:c r="D233" s="20" t="str">
        <x:v>DQ</x:v>
      </x:c>
      <x:c r="E233" s="23" t="n">
        <x:v>150</x:v>
      </x:c>
      <x:c r="F233" s="23" t="n">
        <x:v>56.22629444819482</x:v>
      </x:c>
      <x:c r="G233" s="23" t="n">
        <x:v>3319.227940795324</x:v>
      </x:c>
      <x:c r="H233" s="23" t="n">
        <x:v>1.7006216830944751</x:v>
      </x:c>
      <x:c r="I233" s="23" t="n">
        <x:v>24.796332678336324</x:v>
      </x:c>
      <x:c r="J233" s="23" t="n">
        <x:v>38.624490291689746</x:v>
      </x:c>
      <x:c r="K233" s="23" t="n">
        <x:f>IF(E233&gt;0,J233/E233*100,"")</x:f>
        <x:v>25.74966019445983</x:v>
      </x:c>
      <x:c r="L233" s="23" t="n">
        <x:f>IF(E233&gt;0,ABS(J233-E233),"")</x:f>
        <x:v>111.37550970831026</x:v>
      </x:c>
      <x:c r="M233" s="23" t="n">
        <x:v>1.356255054473877</x:v>
      </x:c>
      <x:c r="N233" s="20" t="n">
        <x:v>242</x:v>
      </x:c>
      <x:c r="O233" s="20" t="str">
        <x:v>no</x:v>
      </x:c>
    </x:row>
    <x:row r="234">
      <x:c r="A234" s="20" t="str">
        <x:v>DQ150-TB50-TH0.csv</x:v>
      </x:c>
      <x:c r="B234" s="20" t="n">
        <x:v>5</x:v>
      </x:c>
      <x:c r="C234" s="20" t="str">
        <x:v>binary</x:v>
      </x:c>
      <x:c r="D234" s="20" t="str">
        <x:v>TBZ</x:v>
      </x:c>
      <x:c r="E234" s="23" t="n">
        <x:v>50</x:v>
      </x:c>
      <x:c r="F234" s="23" t="n">
        <x:v>42.60436383400325</x:v>
      </x:c>
      <x:c r="G234" s="23" t="n">
        <x:v>576.2256190391372</x:v>
      </x:c>
      <x:c r="H234" s="23" t="n">
        <x:v>1.0882944357976223</x:v>
      </x:c>
      <x:c r="I234" s="23" t="n">
        <x:v>13.479041212297744</x:v>
      </x:c>
      <x:c r="J234" s="23" t="n">
        <x:v>29.99619634119123</x:v>
      </x:c>
      <x:c r="K234" s="23" t="n">
        <x:f>IF(E234&gt;0,J234/E234*100,"")</x:f>
        <x:v>59.99239268238246</x:v>
      </x:c>
      <x:c r="L234" s="23" t="n">
        <x:f>IF(E234&gt;0,ABS(J234-E234),"")</x:f>
        <x:v>20.00380365880877</x:v>
      </x:c>
      <x:c r="M234" s="23" t="n">
        <x:v>1.4403197765350342</x:v>
      </x:c>
      <x:c r="N234" s="20" t="n">
        <x:v>242</x:v>
      </x:c>
      <x:c r="O234" s="20" t="str">
        <x:v>no</x:v>
      </x:c>
    </x:row>
    <x:row r="235">
      <x:c r="A235" s="20" t="str">
        <x:v>DQ150-TB50-TH0.csv</x:v>
      </x:c>
      <x:c r="B235" s="20" t="n">
        <x:v>5</x:v>
      </x:c>
      <x:c r="C235" s="20" t="str">
        <x:v>binary</x:v>
      </x:c>
      <x:c r="D235" s="20" t="str">
        <x:v>THI</x:v>
      </x:c>
      <x:c r="E235" s="23" t="n">
        <x:v>0</x:v>
      </x:c>
      <x:c r="F235" s="23" t="n">
        <x:v>1.169341717701919</x:v>
      </x:c>
      <x:c r="G235" s="23" t="n">
        <x:v>1029.8579952154903</x:v>
      </x:c>
      <x:c r="H235" s="23" t="n">
        <x:v>1.0572119158059947</x:v>
      </x:c>
      <x:c r="I235" s="23" t="n">
        <x:v>3.0491535932215226</x:v>
      </x:c>
      <x:c r="J235" s="23" t="n">
        <x:v>4.019654603834797</x:v>
      </x:c>
      <x:c r="K235" s="23" t="str">
        <x:f>IF(E235&gt;0,J235/E235*100,"")</x:f>
      </x:c>
      <x:c r="L235" s="23" t="str">
        <x:f>IF(E235&gt;0,ABS(J235-E235),"")</x:f>
      </x:c>
      <x:c r="M235" s="23" t="n">
        <x:v>0.5800266861915588</x:v>
      </x:c>
      <x:c r="N235" s="20" t="n">
        <x:v>242</x:v>
      </x:c>
      <x:c r="O235" s="20" t="str">
        <x:v>no</x:v>
      </x:c>
    </x:row>
    <x:row r="236">
      <x:c r="A236" s="20" t="str">
        <x:v>DQ24-TB24-TH12.csv</x:v>
      </x:c>
      <x:c r="B236" s="20" t="n">
        <x:v>5</x:v>
      </x:c>
      <x:c r="C236" s="20" t="str">
        <x:v>ternary</x:v>
      </x:c>
      <x:c r="D236" s="20" t="str">
        <x:v>DQ</x:v>
      </x:c>
      <x:c r="E236" s="23" t="n">
        <x:v>24</x:v>
      </x:c>
      <x:c r="F236" s="23" t="n">
        <x:v>40.99692365490959</x:v>
      </x:c>
      <x:c r="G236" s="23" t="n">
        <x:v>5610.849586263273</x:v>
      </x:c>
      <x:c r="H236" s="23" t="n">
        <x:v>5.321368053174148</x:v>
      </x:c>
      <x:c r="I236" s="23" t="n">
        <x:v>17.66428161629077</x:v>
      </x:c>
      <x:c r="J236" s="23" t="n">
        <x:v>16.04458750674506</x:v>
      </x:c>
      <x:c r="K236" s="23" t="n">
        <x:f>IF(E236&gt;0,J236/E236*100,"")</x:f>
        <x:v>66.85244794477109</x:v>
      </x:c>
      <x:c r="L236" s="23" t="n">
        <x:f>IF(E236&gt;0,ABS(J236-E236),"")</x:f>
        <x:v>7.95541249325494</x:v>
      </x:c>
      <x:c r="M236" s="23" t="n">
        <x:v>0.4793052673339844</x:v>
      </x:c>
      <x:c r="N236" s="20" t="n">
        <x:v>242</x:v>
      </x:c>
      <x:c r="O236" s="20" t="str">
        <x:v>yes</x:v>
      </x:c>
    </x:row>
    <x:row r="237">
      <x:c r="A237" s="20" t="str">
        <x:v>DQ24-TB24-TH12.csv</x:v>
      </x:c>
      <x:c r="B237" s="20" t="n">
        <x:v>5</x:v>
      </x:c>
      <x:c r="C237" s="20" t="str">
        <x:v>ternary</x:v>
      </x:c>
      <x:c r="D237" s="20" t="str">
        <x:v>TBZ</x:v>
      </x:c>
      <x:c r="E237" s="23" t="n">
        <x:v>24</x:v>
      </x:c>
      <x:c r="F237" s="23" t="n">
        <x:v>28.706331214456878</x:v>
      </x:c>
      <x:c r="G237" s="23" t="n">
        <x:v>1138.5846949661254</x:v>
      </x:c>
      <x:c r="H237" s="23" t="n">
        <x:v>1.5282044743615333</x:v>
      </x:c>
      <x:c r="I237" s="23" t="n">
        <x:v>10.33419759236997</x:v>
      </x:c>
      <x:c r="J237" s="23" t="n">
        <x:v>9.903337056183709</x:v>
      </x:c>
      <x:c r="K237" s="23" t="n">
        <x:f>IF(E237&gt;0,J237/E237*100,"")</x:f>
        <x:v>41.263904400765455</x:v>
      </x:c>
      <x:c r="L237" s="23" t="n">
        <x:f>IF(E237&gt;0,ABS(J237-E237),"")</x:f>
        <x:v>14.096662943816291</x:v>
      </x:c>
      <x:c r="M237" s="23" t="n">
        <x:v>0.8116000890731812</x:v>
      </x:c>
      <x:c r="N237" s="20" t="n">
        <x:v>242</x:v>
      </x:c>
      <x:c r="O237" s="20" t="str">
        <x:v>yes</x:v>
      </x:c>
    </x:row>
    <x:row r="238">
      <x:c r="A238" s="20" t="str">
        <x:v>DQ24-TB24-TH12.csv</x:v>
      </x:c>
      <x:c r="B238" s="20" t="n">
        <x:v>5</x:v>
      </x:c>
      <x:c r="C238" s="20" t="str">
        <x:v>ternary</x:v>
      </x:c>
      <x:c r="D238" s="20" t="str">
        <x:v>THI</x:v>
      </x:c>
      <x:c r="E238" s="23" t="n">
        <x:v>12</x:v>
      </x:c>
      <x:c r="F238" s="23" t="n">
        <x:v>30.29674513053354</x:v>
      </x:c>
      <x:c r="G238" s="23" t="n">
        <x:v>7730.384004850271</x:v>
      </x:c>
      <x:c r="H238" s="23" t="n">
        <x:v>30.904189724357632</x:v>
      </x:c>
      <x:c r="I238" s="23" t="n">
        <x:v>14.811007199579459</x:v>
      </x:c>
      <x:c r="J238" s="23" t="n">
        <x:v>13.639887813980781</x:v>
      </x:c>
      <x:c r="K238" s="23" t="n">
        <x:f>IF(E238&gt;0,J238/E238*100,"")</x:f>
        <x:v>113.66573178317319</x:v>
      </x:c>
      <x:c r="L238" s="23" t="n">
        <x:f>IF(E238&gt;0,ABS(J238-E238),"")</x:f>
        <x:v>1.6398878139807813</x:v>
      </x:c>
      <x:c r="M238" s="23" t="n">
        <x:v>-0.35520654916763306</x:v>
      </x:c>
      <x:c r="N238" s="20" t="n">
        <x:v>242</x:v>
      </x:c>
      <x:c r="O238" s="20" t="str">
        <x:v>yes</x:v>
      </x:c>
    </x:row>
    <x:row r="239">
      <x:c r="A239" s="20" t="str">
        <x:v>DQ24-TB24-TH3.csv</x:v>
      </x:c>
      <x:c r="B239" s="20" t="n">
        <x:v>5</x:v>
      </x:c>
      <x:c r="C239" s="20" t="str">
        <x:v>ternary</x:v>
      </x:c>
      <x:c r="D239" s="20" t="str">
        <x:v>DQ</x:v>
      </x:c>
      <x:c r="E239" s="23" t="n">
        <x:v>24</x:v>
      </x:c>
      <x:c r="F239" s="23" t="n">
        <x:v>37.84511469894487</x:v>
      </x:c>
      <x:c r="G239" s="23" t="n">
        <x:v>7026.510230151168</x:v>
      </x:c>
      <x:c r="H239" s="23" t="n">
        <x:v>10.766355967142681</x:v>
      </x:c>
      <x:c r="I239" s="23" t="n">
        <x:v>12.174495788754902</x:v>
      </x:c>
      <x:c r="J239" s="23" t="n">
        <x:v>12.45398315827325</x:v>
      </x:c>
      <x:c r="K239" s="23" t="n">
        <x:f>IF(E239&gt;0,J239/E239*100,"")</x:f>
        <x:v>51.891596492805206</x:v>
      </x:c>
      <x:c r="L239" s="23" t="n">
        <x:f>IF(E239&gt;0,ABS(J239-E239),"")</x:f>
        <x:v>11.54601684172675</x:v>
      </x:c>
      <x:c r="M239" s="23" t="n">
        <x:v>0.06323954463005066</x:v>
      </x:c>
      <x:c r="N239" s="20" t="n">
        <x:v>242</x:v>
      </x:c>
      <x:c r="O239" s="20" t="str">
        <x:v>yes</x:v>
      </x:c>
    </x:row>
    <x:row r="240">
      <x:c r="A240" s="20" t="str">
        <x:v>DQ24-TB24-TH3.csv</x:v>
      </x:c>
      <x:c r="B240" s="20" t="n">
        <x:v>5</x:v>
      </x:c>
      <x:c r="C240" s="20" t="str">
        <x:v>ternary</x:v>
      </x:c>
      <x:c r="D240" s="20" t="str">
        <x:v>TBZ</x:v>
      </x:c>
      <x:c r="E240" s="23" t="n">
        <x:v>24</x:v>
      </x:c>
      <x:c r="F240" s="23" t="n">
        <x:v>45.52769384830551</x:v>
      </x:c>
      <x:c r="G240" s="23" t="n">
        <x:v>3652.5320381709985</x:v>
      </x:c>
      <x:c r="H240" s="23" t="n">
        <x:v>6.970584681444674</x:v>
      </x:c>
      <x:c r="I240" s="23" t="n">
        <x:v>16.675632660450546</x:v>
      </x:c>
      <x:c r="J240" s="23" t="n">
        <x:v>12.628575765596977</x:v>
      </x:c>
      <x:c r="K240" s="23" t="n">
        <x:f>IF(E240&gt;0,J240/E240*100,"")</x:f>
        <x:v>52.61906568998741</x:v>
      </x:c>
      <x:c r="L240" s="23" t="n">
        <x:f>IF(E240&gt;0,ABS(J240-E240),"")</x:f>
        <x:v>11.371424234403023</x:v>
      </x:c>
      <x:c r="M240" s="23" t="n">
        <x:v>0.258085161447525</x:v>
      </x:c>
      <x:c r="N240" s="20" t="n">
        <x:v>242</x:v>
      </x:c>
      <x:c r="O240" s="20" t="str">
        <x:v>yes</x:v>
      </x:c>
    </x:row>
    <x:row r="241">
      <x:c r="A241" s="20" t="str">
        <x:v>DQ24-TB24-TH3.csv</x:v>
      </x:c>
      <x:c r="B241" s="20" t="n">
        <x:v>5</x:v>
      </x:c>
      <x:c r="C241" s="20" t="str">
        <x:v>ternary</x:v>
      </x:c>
      <x:c r="D241" s="20" t="str">
        <x:v>THI</x:v>
      </x:c>
      <x:c r="E241" s="23" t="n">
        <x:v>3</x:v>
      </x:c>
      <x:c r="F241" s="23" t="n">
        <x:v>16.62719145264962</x:v>
      </x:c>
      <x:c r="G241" s="23" t="n">
        <x:v>3395.660495338492</x:v>
      </x:c>
      <x:c r="H241" s="23" t="n">
        <x:v>3.4811443923197967</x:v>
      </x:c>
      <x:c r="I241" s="23" t="n">
        <x:v>4.7474194726708285</x:v>
      </x:c>
      <x:c r="J241" s="23" t="n">
        <x:v>4.438130349288924</x:v>
      </x:c>
      <x:c r="K241" s="23" t="n">
        <x:f>IF(E241&gt;0,J241/E241*100,"")</x:f>
        <x:v>147.9376783096308</x:v>
      </x:c>
      <x:c r="L241" s="23" t="n">
        <x:f>IF(E241&gt;0,ABS(J241-E241),"")</x:f>
        <x:v>1.4381303492889241</x:v>
      </x:c>
      <x:c r="M241" s="23" t="n">
        <x:v>0.10547801852226257</x:v>
      </x:c>
      <x:c r="N241" s="20" t="n">
        <x:v>242</x:v>
      </x:c>
      <x:c r="O241" s="20" t="str">
        <x:v>yes</x:v>
      </x:c>
    </x:row>
    <x:row r="242">
      <x:c r="A242" s="20" t="str">
        <x:v>DQ24-TB24-TH6.csv</x:v>
      </x:c>
      <x:c r="B242" s="20" t="n">
        <x:v>5</x:v>
      </x:c>
      <x:c r="C242" s="20" t="str">
        <x:v>ternary</x:v>
      </x:c>
      <x:c r="D242" s="20" t="str">
        <x:v>DQ</x:v>
      </x:c>
      <x:c r="E242" s="23" t="n">
        <x:v>24</x:v>
      </x:c>
      <x:c r="F242" s="23" t="n">
        <x:v>34.972381259607324</x:v>
      </x:c>
      <x:c r="G242" s="23" t="n">
        <x:v>6809.192184497398</x:v>
      </x:c>
      <x:c r="H242" s="23" t="n">
        <x:v>9.662459888186017</x:v>
      </x:c>
      <x:c r="I242" s="23" t="n">
        <x:v>11.16982244066988</x:v>
      </x:c>
      <x:c r="J242" s="23" t="n">
        <x:v>12.454153207030101</x:v>
      </x:c>
      <x:c r="K242" s="23" t="n">
        <x:f>IF(E242&gt;0,J242/E242*100,"")</x:f>
        <x:v>51.89230502929208</x:v>
      </x:c>
      <x:c r="L242" s="23" t="n">
        <x:f>IF(E242&gt;0,ABS(J242-E242),"")</x:f>
        <x:v>11.545846792969899</x:v>
      </x:c>
      <x:c r="M242" s="23" t="n">
        <x:v>0.11022651195526123</x:v>
      </x:c>
      <x:c r="N242" s="20" t="n">
        <x:v>242</x:v>
      </x:c>
      <x:c r="O242" s="20" t="str">
        <x:v>yes</x:v>
      </x:c>
    </x:row>
    <x:row r="243">
      <x:c r="A243" s="20" t="str">
        <x:v>DQ24-TB24-TH6.csv</x:v>
      </x:c>
      <x:c r="B243" s="20" t="n">
        <x:v>5</x:v>
      </x:c>
      <x:c r="C243" s="20" t="str">
        <x:v>ternary</x:v>
      </x:c>
      <x:c r="D243" s="20" t="str">
        <x:v>TBZ</x:v>
      </x:c>
      <x:c r="E243" s="23" t="n">
        <x:v>24</x:v>
      </x:c>
      <x:c r="F243" s="23" t="n">
        <x:v>41.61066273744051</x:v>
      </x:c>
      <x:c r="G243" s="23" t="n">
        <x:v>3371.675407158808</x:v>
      </x:c>
      <x:c r="H243" s="23" t="n">
        <x:v>5.8835078300646195</x:v>
      </x:c>
      <x:c r="I243" s="23" t="n">
        <x:v>15.924427935796407</x:v>
      </x:c>
      <x:c r="J243" s="23" t="n">
        <x:v>13.337987762925737</x:v>
      </x:c>
      <x:c r="K243" s="23" t="n">
        <x:f>IF(E243&gt;0,J243/E243*100,"")</x:f>
        <x:v>55.574949012190565</x:v>
      </x:c>
      <x:c r="L243" s="23" t="n">
        <x:f>IF(E243&gt;0,ABS(J243-E243),"")</x:f>
        <x:v>10.662012237074263</x:v>
      </x:c>
      <x:c r="M243" s="23" t="n">
        <x:v>0.3554539978504181</x:v>
      </x:c>
      <x:c r="N243" s="20" t="n">
        <x:v>242</x:v>
      </x:c>
      <x:c r="O243" s="20" t="str">
        <x:v>yes</x:v>
      </x:c>
    </x:row>
    <x:row r="244">
      <x:c r="A244" s="20" t="str">
        <x:v>DQ24-TB24-TH6.csv</x:v>
      </x:c>
      <x:c r="B244" s="20" t="n">
        <x:v>5</x:v>
      </x:c>
      <x:c r="C244" s="20" t="str">
        <x:v>ternary</x:v>
      </x:c>
      <x:c r="D244" s="20" t="str">
        <x:v>THI</x:v>
      </x:c>
      <x:c r="E244" s="23" t="n">
        <x:v>6</x:v>
      </x:c>
      <x:c r="F244" s="23" t="n">
        <x:v>23.416956002852146</x:v>
      </x:c>
      <x:c r="G244" s="23" t="n">
        <x:v>5570.502064325547</x:v>
      </x:c>
      <x:c r="H244" s="23" t="n">
        <x:v>10.41132581028111</x:v>
      </x:c>
      <x:c r="I244" s="23" t="n">
        <x:v>8.220649468831152</x:v>
      </x:c>
      <x:c r="J244" s="23" t="n">
        <x:v>9.037505852035522</x:v>
      </x:c>
      <x:c r="K244" s="23" t="n">
        <x:f>IF(E244&gt;0,J244/E244*100,"")</x:f>
        <x:v>150.62509753392536</x:v>
      </x:c>
      <x:c r="L244" s="23" t="n">
        <x:f>IF(E244&gt;0,ABS(J244-E244),"")</x:f>
        <x:v>3.0375058520355225</x:v>
      </x:c>
      <x:c r="M244" s="23" t="n">
        <x:v>-0.06145745515823364</x:v>
      </x:c>
      <x:c r="N244" s="20" t="n">
        <x:v>242</x:v>
      </x:c>
      <x:c r="O244" s="20" t="str">
        <x:v>yes</x:v>
      </x:c>
    </x:row>
    <x:row r="245">
      <x:c r="A245" s="20" t="str">
        <x:v>DQ3-TB24-TH6.csv</x:v>
      </x:c>
      <x:c r="B245" s="20" t="n">
        <x:v>5</x:v>
      </x:c>
      <x:c r="C245" s="20" t="str">
        <x:v>ternary</x:v>
      </x:c>
      <x:c r="D245" s="20" t="str">
        <x:v>DQ</x:v>
      </x:c>
      <x:c r="E245" s="23" t="n">
        <x:v>3</x:v>
      </x:c>
      <x:c r="F245" s="23" t="n">
        <x:v>11.421654588610576</x:v>
      </x:c>
      <x:c r="G245" s="23" t="n">
        <x:v>4830.429873017727</x:v>
      </x:c>
      <x:c r="H245" s="23" t="n">
        <x:v>3.608342877020818</x:v>
      </x:c>
      <x:c r="I245" s="23" t="n">
        <x:v>3.8155507603508516</x:v>
      </x:c>
      <x:c r="J245" s="23" t="n">
        <x:v>2.8390984713282106</x:v>
      </x:c>
      <x:c r="K245" s="23" t="n">
        <x:f>IF(E245&gt;0,J245/E245*100,"")</x:f>
        <x:v>94.63661571094035</x:v>
      </x:c>
      <x:c r="L245" s="23" t="n">
        <x:f>IF(E245&gt;0,ABS(J245-E245),"")</x:f>
        <x:v>0.16090152867178942</x:v>
      </x:c>
      <x:c r="M245" s="23" t="n">
        <x:v>-0.10412734746932983</x:v>
      </x:c>
      <x:c r="N245" s="20" t="n">
        <x:v>242</x:v>
      </x:c>
      <x:c r="O245" s="20" t="str">
        <x:v>yes</x:v>
      </x:c>
    </x:row>
    <x:row r="246">
      <x:c r="A246" s="20" t="str">
        <x:v>DQ3-TB24-TH6.csv</x:v>
      </x:c>
      <x:c r="B246" s="20" t="n">
        <x:v>5</x:v>
      </x:c>
      <x:c r="C246" s="20" t="str">
        <x:v>ternary</x:v>
      </x:c>
      <x:c r="D246" s="20" t="str">
        <x:v>TBZ</x:v>
      </x:c>
      <x:c r="E246" s="23" t="n">
        <x:v>24</x:v>
      </x:c>
      <x:c r="F246" s="23" t="n">
        <x:v>59.30773932164346</x:v>
      </x:c>
      <x:c r="G246" s="23" t="n">
        <x:v>2755.6628327806916</x:v>
      </x:c>
      <x:c r="H246" s="23" t="n">
        <x:v>4.0563442792914906</x:v>
      </x:c>
      <x:c r="I246" s="23" t="n">
        <x:v>14.781144713959963</x:v>
      </x:c>
      <x:c r="J246" s="23" t="n">
        <x:v>10.514969925073315</x:v>
      </x:c>
      <x:c r="K246" s="23" t="n">
        <x:f>IF(E246&gt;0,J246/E246*100,"")</x:f>
        <x:v>43.81237468780548</x:v>
      </x:c>
      <x:c r="L246" s="23" t="n">
        <x:f>IF(E246&gt;0,ABS(J246-E246),"")</x:f>
        <x:v>13.485030074926685</x:v>
      </x:c>
      <x:c r="M246" s="23" t="n">
        <x:v>0.4136732220649719</x:v>
      </x:c>
      <x:c r="N246" s="20" t="n">
        <x:v>242</x:v>
      </x:c>
      <x:c r="O246" s="20" t="str">
        <x:v>yes</x:v>
      </x:c>
    </x:row>
    <x:row r="247">
      <x:c r="A247" s="20" t="str">
        <x:v>DQ3-TB24-TH6.csv</x:v>
      </x:c>
      <x:c r="B247" s="20" t="n">
        <x:v>5</x:v>
      </x:c>
      <x:c r="C247" s="20" t="str">
        <x:v>ternary</x:v>
      </x:c>
      <x:c r="D247" s="20" t="str">
        <x:v>THI</x:v>
      </x:c>
      <x:c r="E247" s="23" t="n">
        <x:v>6</x:v>
      </x:c>
      <x:c r="F247" s="23" t="n">
        <x:v>29.270606089645945</x:v>
      </x:c>
      <x:c r="G247" s="23" t="n">
        <x:v>3632.103930996162</x:v>
      </x:c>
      <x:c r="H247" s="23" t="n">
        <x:v>3.9214628567019405</x:v>
      </x:c>
      <x:c r="I247" s="23" t="n">
        <x:v>6.462853668751402</x:v>
      </x:c>
      <x:c r="J247" s="23" t="n">
        <x:v>6.914921851704896</x:v>
      </x:c>
      <x:c r="K247" s="23" t="n">
        <x:f>IF(E247&gt;0,J247/E247*100,"")</x:f>
        <x:v>115.24869752841494</x:v>
      </x:c>
      <x:c r="L247" s="23" t="n">
        <x:f>IF(E247&gt;0,ABS(J247-E247),"")</x:f>
        <x:v>0.9149218517048956</x:v>
      </x:c>
      <x:c r="M247" s="23" t="n">
        <x:v>0.24633915722370148</x:v>
      </x:c>
      <x:c r="N247" s="20" t="n">
        <x:v>242</x:v>
      </x:c>
      <x:c r="O247" s="20" t="str">
        <x:v>yes</x:v>
      </x:c>
    </x:row>
    <x:row r="248">
      <x:c r="A248" s="20" t="str">
        <x:v>DQ333-TB33-TH333.csv</x:v>
      </x:c>
      <x:c r="B248" s="20" t="n">
        <x:v>5</x:v>
      </x:c>
      <x:c r="C248" s="20" t="str">
        <x:v>ternary</x:v>
      </x:c>
      <x:c r="D248" s="20" t="str">
        <x:v>DQ</x:v>
      </x:c>
      <x:c r="E248" s="23" t="n">
        <x:v>333</x:v>
      </x:c>
      <x:c r="F248" s="23" t="n">
        <x:v>7.157309798238757</x:v>
      </x:c>
      <x:c r="G248" s="23" t="n">
        <x:v>216.65163957104264</x:v>
      </x:c>
      <x:c r="H248" s="23" t="n">
        <x:v>0.36297391224868586</x:v>
      </x:c>
      <x:c r="I248" s="23" t="n">
        <x:v>36.29739122486858</x:v>
      </x:c>
      <x:c r="J248" s="23" t="n">
        <x:v>31.88200986830464</x:v>
      </x:c>
      <x:c r="K248" s="23" t="n">
        <x:f>IF(E248&gt;0,J248/E248*100,"")</x:f>
        <x:v>9.574177137629022</x:v>
      </x:c>
      <x:c r="L248" s="23" t="n">
        <x:f>IF(E248&gt;0,ABS(J248-E248),"")</x:f>
        <x:v>301.11799013169536</x:v>
      </x:c>
      <x:c r="M248" s="23" t="n">
        <x:v>1.9436702728271484</x:v>
      </x:c>
      <x:c r="N248" s="20" t="n">
        <x:v>242</x:v>
      </x:c>
      <x:c r="O248" s="20" t="str">
        <x:v>no</x:v>
      </x:c>
    </x:row>
    <x:row r="249">
      <x:c r="A249" s="20" t="str">
        <x:v>DQ333-TB33-TH333.csv</x:v>
      </x:c>
      <x:c r="B249" s="20" t="n">
        <x:v>5</x:v>
      </x:c>
      <x:c r="C249" s="20" t="str">
        <x:v>ternary</x:v>
      </x:c>
      <x:c r="D249" s="20" t="str">
        <x:v>TBZ</x:v>
      </x:c>
      <x:c r="E249" s="23" t="n">
        <x:v>33</x:v>
      </x:c>
      <x:c r="F249" s="23" t="n">
        <x:v>4.262618320315065</x:v>
      </x:c>
      <x:c r="G249" s="23" t="n">
        <x:v>355.6614539303112</x:v>
      </x:c>
      <x:c r="H249" s="23" t="n">
        <x:v>0.9526218983391641</x:v>
      </x:c>
      <x:c r="I249" s="23" t="n">
        <x:v>89.86983473950649</x:v>
      </x:c>
      <x:c r="J249" s="23" t="n">
        <x:v>32.49837787193954</x:v>
      </x:c>
      <x:c r="K249" s="23" t="n">
        <x:f>IF(E249&gt;0,J249/E249*100,"")</x:f>
        <x:v>98.47993294527133</x:v>
      </x:c>
      <x:c r="L249" s="23" t="n">
        <x:f>IF(E249&gt;0,ABS(J249-E249),"")</x:f>
        <x:v>0.5016221280604611</x:v>
      </x:c>
      <x:c r="M249" s="23" t="n">
        <x:v>1.5329411029815674</x:v>
      </x:c>
      <x:c r="N249" s="20" t="n">
        <x:v>242</x:v>
      </x:c>
      <x:c r="O249" s="20" t="str">
        <x:v>no</x:v>
      </x:c>
    </x:row>
    <x:row r="250">
      <x:c r="A250" s="20" t="str">
        <x:v>DQ333-TB33-TH333.csv</x:v>
      </x:c>
      <x:c r="B250" s="20" t="n">
        <x:v>5</x:v>
      </x:c>
      <x:c r="C250" s="20" t="str">
        <x:v>ternary</x:v>
      </x:c>
      <x:c r="D250" s="20" t="str">
        <x:v>THI</x:v>
      </x:c>
      <x:c r="E250" s="23" t="n">
        <x:v>333</x:v>
      </x:c>
      <x:c r="F250" s="23" t="n">
        <x:v>88.58007188134619</x:v>
      </x:c>
      <x:c r="G250" s="23" t="n">
        <x:v>12492.071613527967</x:v>
      </x:c>
      <x:c r="H250" s="23" t="n">
        <x:v>100</x:v>
      </x:c>
      <x:c r="I250" s="23" t="n">
        <x:v>401.90682644940676</x:v>
      </x:c>
      <x:c r="J250" s="23" t="n">
        <x:v>342.24109649658203</x:v>
      </x:c>
      <x:c r="K250" s="23" t="n">
        <x:f>IF(E250&gt;0,J250/E250*100,"")</x:f>
        <x:v>102.77510405302763</x:v>
      </x:c>
      <x:c r="L250" s="23" t="n">
        <x:f>IF(E250&gt;0,ABS(J250-E250),"")</x:f>
        <x:v>9.241096496582031</x:v>
      </x:c>
      <x:c r="M250" s="23" t="n">
        <x:v>0.5343321561813354</x:v>
      </x:c>
      <x:c r="N250" s="20" t="n">
        <x:v>242</x:v>
      </x:c>
      <x:c r="O250" s="20" t="str">
        <x:v>no</x:v>
      </x:c>
    </x:row>
    <x:row r="251">
      <x:c r="A251" s="20" t="str">
        <x:v>DQ50-TB150-TH0.csv</x:v>
      </x:c>
      <x:c r="B251" s="20" t="n">
        <x:v>5</x:v>
      </x:c>
      <x:c r="C251" s="20" t="str">
        <x:v>binary</x:v>
      </x:c>
      <x:c r="D251" s="20" t="str">
        <x:v>DQ</x:v>
      </x:c>
      <x:c r="E251" s="23" t="n">
        <x:v>50</x:v>
      </x:c>
      <x:c r="F251" s="23" t="n">
        <x:v>53.61363222689528</x:v>
      </x:c>
      <x:c r="G251" s="23" t="n">
        <x:v>3739.6164569792277</x:v>
      </x:c>
      <x:c r="H251" s="23" t="n">
        <x:v>2.0964748316159376</x:v>
      </x:c>
      <x:c r="I251" s="23" t="n">
        <x:v>25.569591573359073</x:v>
      </x:c>
      <x:c r="J251" s="23" t="n">
        <x:v>26.927676270482024</x:v>
      </x:c>
      <x:c r="K251" s="23" t="n">
        <x:f>IF(E251&gt;0,J251/E251*100,"")</x:f>
        <x:v>53.85535254096405</x:v>
      </x:c>
      <x:c r="L251" s="23" t="n">
        <x:f>IF(E251&gt;0,ABS(J251-E251),"")</x:f>
        <x:v>23.072323729517976</x:v>
      </x:c>
      <x:c r="M251" s="23" t="n">
        <x:v>1.1087092161178589</x:v>
      </x:c>
      <x:c r="N251" s="20" t="n">
        <x:v>242</x:v>
      </x:c>
      <x:c r="O251" s="20" t="str">
        <x:v>no</x:v>
      </x:c>
    </x:row>
    <x:row r="252">
      <x:c r="A252" s="20" t="str">
        <x:v>DQ50-TB150-TH0.csv</x:v>
      </x:c>
      <x:c r="B252" s="20" t="n">
        <x:v>5</x:v>
      </x:c>
      <x:c r="C252" s="20" t="str">
        <x:v>binary</x:v>
      </x:c>
      <x:c r="D252" s="20" t="str">
        <x:v>TBZ</x:v>
      </x:c>
      <x:c r="E252" s="23" t="n">
        <x:v>150</x:v>
      </x:c>
      <x:c r="F252" s="23" t="n">
        <x:v>45.014469078480616</x:v>
      </x:c>
      <x:c r="G252" s="23" t="n">
        <x:v>1785.0406613725715</x:v>
      </x:c>
      <x:c r="H252" s="23" t="n">
        <x:v>2.257690539296938</x:v>
      </x:c>
      <x:c r="I252" s="23" t="n">
        <x:v>20.7630316960807</x:v>
      </x:c>
      <x:c r="J252" s="23" t="n">
        <x:v>22.341894366239547</x:v>
      </x:c>
      <x:c r="K252" s="23" t="n">
        <x:f>IF(E252&gt;0,J252/E252*100,"")</x:f>
        <x:v>14.894596244159697</x:v>
      </x:c>
      <x:c r="L252" s="23" t="n">
        <x:f>IF(E252&gt;0,ABS(J252-E252),"")</x:f>
        <x:v>127.65810563376046</x:v>
      </x:c>
      <x:c r="M252" s="23" t="n">
        <x:v>0.9954555630683899</x:v>
      </x:c>
      <x:c r="N252" s="20" t="n">
        <x:v>242</x:v>
      </x:c>
      <x:c r="O252" s="20" t="str">
        <x:v>no</x:v>
      </x:c>
    </x:row>
    <x:row r="253">
      <x:c r="A253" s="20" t="str">
        <x:v>DQ50-TB150-TH0.csv</x:v>
      </x:c>
      <x:c r="B253" s="20" t="n">
        <x:v>5</x:v>
      </x:c>
      <x:c r="C253" s="20" t="str">
        <x:v>binary</x:v>
      </x:c>
      <x:c r="D253" s="20" t="str">
        <x:v>THI</x:v>
      </x:c>
      <x:c r="E253" s="23" t="n">
        <x:v>0</x:v>
      </x:c>
      <x:c r="F253" s="23" t="n">
        <x:v>1.3718986945240823</x:v>
      </x:c>
      <x:c r="G253" s="23" t="n">
        <x:v>803.934453521031</x:v>
      </x:c>
      <x:c r="H253" s="23" t="n">
        <x:v>0.943490189818742</x:v>
      </x:c>
      <x:c r="I253" s="23" t="n">
        <x:v>2.4065659485713176</x:v>
      </x:c>
      <x:c r="J253" s="23" t="n">
        <x:v>2.0806328892200745</x:v>
      </x:c>
      <x:c r="K253" s="23" t="str">
        <x:f>IF(E253&gt;0,J253/E253*100,"")</x:f>
      </x:c>
      <x:c r="L253" s="23" t="str">
        <x:f>IF(E253&gt;0,ABS(J253-E253),"")</x:f>
      </x:c>
      <x:c r="M253" s="23" t="n">
        <x:v>0.34345805644989014</x:v>
      </x:c>
      <x:c r="N253" s="20" t="n">
        <x:v>242</x:v>
      </x:c>
      <x:c r="O253" s="20" t="str">
        <x:v>no</x:v>
      </x:c>
    </x:row>
    <x:row r="254">
      <x:c r="A254" s="20" t="str">
        <x:v>DQ500-TB0-TH50.csv</x:v>
      </x:c>
      <x:c r="B254" s="20" t="n">
        <x:v>5</x:v>
      </x:c>
      <x:c r="C254" s="20" t="str">
        <x:v>binary</x:v>
      </x:c>
      <x:c r="D254" s="20" t="str">
        <x:v>DQ</x:v>
      </x:c>
      <x:c r="E254" s="23" t="n">
        <x:v>500</x:v>
      </x:c>
      <x:c r="F254" s="23" t="n">
        <x:v>62.70157171792564</x:v>
      </x:c>
      <x:c r="G254" s="23" t="n">
        <x:v>11111.731069985239</x:v>
      </x:c>
      <x:c r="H254" s="23" t="n">
        <x:v>82.26869861080556</x:v>
      </x:c>
      <x:c r="I254" s="23" t="n">
        <x:v>142.56362794993908</x:v>
      </x:c>
      <x:c r="J254" s="23" t="n">
        <x:v>386.5507911763742</x:v>
      </x:c>
      <x:c r="K254" s="23" t="n">
        <x:f>IF(E254&gt;0,J254/E254*100,"")</x:f>
        <x:v>77.31015823527484</x:v>
      </x:c>
      <x:c r="L254" s="23" t="n">
        <x:f>IF(E254&gt;0,ABS(J254-E254),"")</x:f>
        <x:v>113.44920882362578</x:v>
      </x:c>
      <x:c r="M254" s="23" t="n">
        <x:v>0.6719719171524048</x:v>
      </x:c>
      <x:c r="N254" s="20" t="n">
        <x:v>242</x:v>
      </x:c>
      <x:c r="O254" s="20" t="str">
        <x:v>no</x:v>
      </x:c>
    </x:row>
    <x:row r="255">
      <x:c r="A255" s="20" t="str">
        <x:v>DQ500-TB0-TH50.csv</x:v>
      </x:c>
      <x:c r="B255" s="20" t="n">
        <x:v>5</x:v>
      </x:c>
      <x:c r="C255" s="20" t="str">
        <x:v>binary</x:v>
      </x:c>
      <x:c r="D255" s="20" t="str">
        <x:v>TBZ</x:v>
      </x:c>
      <x:c r="E255" s="23" t="n">
        <x:v>0</x:v>
      </x:c>
      <x:c r="F255" s="23" t="n">
        <x:v>13.619197893697304</x:v>
      </x:c>
      <x:c r="G255" s="23" t="n">
        <x:v>729.3066216500812</x:v>
      </x:c>
      <x:c r="H255" s="23" t="n">
        <x:v>1.193658323115187</x:v>
      </x:c>
      <x:c r="I255" s="23" t="n">
        <x:v>10.400014524458111</x:v>
      </x:c>
      <x:c r="J255" s="23" t="n">
        <x:v>76.6037186523347</x:v>
      </x:c>
      <x:c r="K255" s="23" t="str">
        <x:f>IF(E255&gt;0,J255/E255*100,"")</x:f>
      </x:c>
      <x:c r="L255" s="23" t="str">
        <x:f>IF(E255&gt;0,ABS(J255-E255),"")</x:f>
      </x:c>
      <x:c r="M255" s="23" t="n">
        <x:v>1.8073698282241821</x:v>
      </x:c>
      <x:c r="N255" s="20" t="n">
        <x:v>242</x:v>
      </x:c>
      <x:c r="O255" s="20" t="str">
        <x:v>no</x:v>
      </x:c>
    </x:row>
    <x:row r="256">
      <x:c r="A256" s="20" t="str">
        <x:v>DQ500-TB0-TH50.csv</x:v>
      </x:c>
      <x:c r="B256" s="20" t="n">
        <x:v>5</x:v>
      </x:c>
      <x:c r="C256" s="20" t="str">
        <x:v>binary</x:v>
      </x:c>
      <x:c r="D256" s="20" t="str">
        <x:v>THI</x:v>
      </x:c>
      <x:c r="E256" s="23" t="n">
        <x:v>50</x:v>
      </x:c>
      <x:c r="F256" s="23" t="n">
        <x:v>23.679230388277052</x:v>
      </x:c>
      <x:c r="G256" s="23" t="n">
        <x:v>11589.518503279816</x:v>
      </x:c>
      <x:c r="H256" s="23" t="n">
        <x:v>100</x:v>
      </x:c>
      <x:c r="I256" s="23" t="n">
        <x:v>16.496184887298803</x:v>
      </x:c>
      <x:c r="J256" s="23" t="n">
        <x:v>22.55452275276184</x:v>
      </x:c>
      <x:c r="K256" s="23" t="n">
        <x:f>IF(E256&gt;0,J256/E256*100,"")</x:f>
        <x:v>45.10904550552368</x:v>
      </x:c>
      <x:c r="L256" s="23" t="n">
        <x:f>IF(E256&gt;0,ABS(J256-E256),"")</x:f>
        <x:v>27.44547724723816</x:v>
      </x:c>
      <x:c r="M256" s="23" t="n">
        <x:v>-0.6467663645744324</x:v>
      </x:c>
      <x:c r="N256" s="20" t="n">
        <x:v>242</x:v>
      </x:c>
      <x:c r="O256" s="20" t="str">
        <x:v>no</x:v>
      </x:c>
    </x:row>
    <x:row r="257">
      <x:c r="A257" s="20" t="str">
        <x:v>DQ6-TB12-TH12.csv</x:v>
      </x:c>
      <x:c r="B257" s="20" t="n">
        <x:v>5</x:v>
      </x:c>
      <x:c r="C257" s="20" t="str">
        <x:v>ternary</x:v>
      </x:c>
      <x:c r="D257" s="20" t="str">
        <x:v>DQ</x:v>
      </x:c>
      <x:c r="E257" s="23" t="n">
        <x:v>6</x:v>
      </x:c>
      <x:c r="F257" s="23" t="n">
        <x:v>10.893271602178732</x:v>
      </x:c>
      <x:c r="G257" s="23" t="n">
        <x:v>5819.092389059508</x:v>
      </x:c>
      <x:c r="H257" s="23" t="n">
        <x:v>5.902586931522725</x:v>
      </x:c>
      <x:c r="I257" s="23" t="n">
        <x:v>7.9872186194705455</x:v>
      </x:c>
      <x:c r="J257" s="23" t="n">
        <x:v>6.979664124173259</x:v>
      </x:c>
      <x:c r="K257" s="23" t="n">
        <x:f>IF(E257&gt;0,J257/E257*100,"")</x:f>
        <x:v>116.32773540288765</x:v>
      </x:c>
      <x:c r="L257" s="23" t="n">
        <x:f>IF(E257&gt;0,ABS(J257-E257),"")</x:f>
        <x:v>0.9796641241732589</x:v>
      </x:c>
      <x:c r="M257" s="23" t="n">
        <x:v>0.07279212772846222</x:v>
      </x:c>
      <x:c r="N257" s="20" t="n">
        <x:v>242</x:v>
      </x:c>
      <x:c r="O257" s="20" t="str">
        <x:v>yes</x:v>
      </x:c>
    </x:row>
    <x:row r="258">
      <x:c r="A258" s="20" t="str">
        <x:v>DQ6-TB12-TH12.csv</x:v>
      </x:c>
      <x:c r="B258" s="20" t="n">
        <x:v>5</x:v>
      </x:c>
      <x:c r="C258" s="20" t="str">
        <x:v>ternary</x:v>
      </x:c>
      <x:c r="D258" s="20" t="str">
        <x:v>TBZ</x:v>
      </x:c>
      <x:c r="E258" s="23" t="n">
        <x:v>12</x:v>
      </x:c>
      <x:c r="F258" s="23" t="n">
        <x:v>50.5333056496159</x:v>
      </x:c>
      <x:c r="G258" s="23" t="n">
        <x:v>1802.1684967867106</x:v>
      </x:c>
      <x:c r="H258" s="23" t="n">
        <x:v>2.281155336092563</x:v>
      </x:c>
      <x:c r="I258" s="23" t="n">
        <x:v>17.573043331641507</x:v>
      </x:c>
      <x:c r="J258" s="23" t="n">
        <x:v>24.457581879256246</x:v>
      </x:c>
      <x:c r="K258" s="23" t="n">
        <x:f>IF(E258&gt;0,J258/E258*100,"")</x:f>
        <x:v>203.81318232713537</x:v>
      </x:c>
      <x:c r="L258" s="23" t="n">
        <x:f>IF(E258&gt;0,ABS(J258-E258),"")</x:f>
        <x:v>12.457581879256246</x:v>
      </x:c>
      <x:c r="M258" s="23" t="n">
        <x:v>1.0302586555480957</x:v>
      </x:c>
      <x:c r="N258" s="20" t="n">
        <x:v>242</x:v>
      </x:c>
      <x:c r="O258" s="20" t="str">
        <x:v>yes</x:v>
      </x:c>
    </x:row>
    <x:row r="259">
      <x:c r="A259" s="20" t="str">
        <x:v>DQ6-TB12-TH12.csv</x:v>
      </x:c>
      <x:c r="B259" s="20" t="n">
        <x:v>5</x:v>
      </x:c>
      <x:c r="C259" s="20" t="str">
        <x:v>ternary</x:v>
      </x:c>
      <x:c r="D259" s="20" t="str">
        <x:v>THI</x:v>
      </x:c>
      <x:c r="E259" s="23" t="n">
        <x:v>12</x:v>
      </x:c>
      <x:c r="F259" s="23" t="n">
        <x:v>38.573422748105365</x:v>
      </x:c>
      <x:c r="G259" s="23" t="n">
        <x:v>8332.927838680724</x:v>
      </x:c>
      <x:c r="H259" s="23" t="n">
        <x:v>41.86337023852309</x:v>
      </x:c>
      <x:c r="I259" s="23" t="n">
        <x:v>18.494924331979636</x:v>
      </x:c>
      <x:c r="J259" s="23" t="n">
        <x:v>21.044969528833963</x:v>
      </x:c>
      <x:c r="K259" s="23" t="n">
        <x:f>IF(E259&gt;0,J259/E259*100,"")</x:f>
        <x:v>175.37474607361636</x:v>
      </x:c>
      <x:c r="L259" s="23" t="n">
        <x:f>IF(E259&gt;0,ABS(J259-E259),"")</x:f>
        <x:v>9.044969528833963</x:v>
      </x:c>
      <x:c r="M259" s="23" t="n">
        <x:v>-0.2986859083175659</x:v>
      </x:c>
      <x:c r="N259" s="20" t="n">
        <x:v>242</x:v>
      </x:c>
      <x:c r="O259" s="20" t="str">
        <x:v>yes</x:v>
      </x:c>
    </x:row>
    <x:row r="260">
      <x:c r="A260" s="20" t="str">
        <x:v>DQ6-TB24-TH24.csv</x:v>
      </x:c>
      <x:c r="B260" s="20" t="n">
        <x:v>5</x:v>
      </x:c>
      <x:c r="C260" s="20" t="str">
        <x:v>ternary</x:v>
      </x:c>
      <x:c r="D260" s="20" t="str">
        <x:v>DQ</x:v>
      </x:c>
      <x:c r="E260" s="23" t="n">
        <x:v>6</x:v>
      </x:c>
      <x:c r="F260" s="23" t="n">
        <x:v>15.465612134072623</x:v>
      </x:c>
      <x:c r="G260" s="23" t="n">
        <x:v>4880.374227629932</x:v>
      </x:c>
      <x:c r="H260" s="23" t="n">
        <x:v>3.699176461511459</x:v>
      </x:c>
      <x:c r="I260" s="23" t="n">
        <x:v>3.888882140694013</x:v>
      </x:c>
      <x:c r="J260" s="23" t="n">
        <x:v>2.708575688609113</x:v>
      </x:c>
      <x:c r="K260" s="23" t="n">
        <x:f>IF(E260&gt;0,J260/E260*100,"")</x:f>
        <x:v>45.142928143485214</x:v>
      </x:c>
      <x:c r="L260" s="23" t="n">
        <x:f>IF(E260&gt;0,ABS(J260-E260),"")</x:f>
        <x:v>3.291424311390887</x:v>
      </x:c>
      <x:c r="M260" s="23" t="n">
        <x:v>-0.13536405563354492</x:v>
      </x:c>
      <x:c r="N260" s="20" t="n">
        <x:v>242</x:v>
      </x:c>
      <x:c r="O260" s="20" t="str">
        <x:v>yes</x:v>
      </x:c>
    </x:row>
    <x:row r="261">
      <x:c r="A261" s="20" t="str">
        <x:v>DQ6-TB24-TH24.csv</x:v>
      </x:c>
      <x:c r="B261" s="20" t="n">
        <x:v>5</x:v>
      </x:c>
      <x:c r="C261" s="20" t="str">
        <x:v>ternary</x:v>
      </x:c>
      <x:c r="D261" s="20" t="str">
        <x:v>TBZ</x:v>
      </x:c>
      <x:c r="E261" s="23" t="n">
        <x:v>24</x:v>
      </x:c>
      <x:c r="F261" s="23" t="n">
        <x:v>42.76744752134029</x:v>
      </x:c>
      <x:c r="G261" s="23" t="n">
        <x:v>1629.0310400581827</x:v>
      </x:c>
      <x:c r="H261" s="23" t="n">
        <x:v>2.0547689200062016</x:v>
      </x:c>
      <x:c r="I261" s="23" t="n">
        <x:v>6.476503664948425</x:v>
      </x:c>
      <x:c r="J261" s="23" t="n">
        <x:v>4.121285034286549</x:v>
      </x:c>
      <x:c r="K261" s="23" t="n">
        <x:f>IF(E261&gt;0,J261/E261*100,"")</x:f>
        <x:v>17.172020976193956</x:v>
      </x:c>
      <x:c r="L261" s="23" t="n">
        <x:f>IF(E261&gt;0,ABS(J261-E261),"")</x:f>
        <x:v>19.87871496571345</x:v>
      </x:c>
      <x:c r="M261" s="23" t="n">
        <x:v>0.30226966738700867</x:v>
      </x:c>
      <x:c r="N261" s="20" t="n">
        <x:v>242</x:v>
      </x:c>
      <x:c r="O261" s="20" t="str">
        <x:v>yes</x:v>
      </x:c>
    </x:row>
    <x:row r="262">
      <x:c r="A262" s="20" t="str">
        <x:v>DQ6-TB24-TH24.csv</x:v>
      </x:c>
      <x:c r="B262" s="20" t="n">
        <x:v>5</x:v>
      </x:c>
      <x:c r="C262" s="20" t="str">
        <x:v>ternary</x:v>
      </x:c>
      <x:c r="D262" s="20" t="str">
        <x:v>THI</x:v>
      </x:c>
      <x:c r="E262" s="23" t="n">
        <x:v>24</x:v>
      </x:c>
      <x:c r="F262" s="23" t="n">
        <x:v>41.7669403444871</x:v>
      </x:c>
      <x:c r="G262" s="23" t="n">
        <x:v>3871.6297222452063</x:v>
      </x:c>
      <x:c r="H262" s="23" t="n">
        <x:v>4.424339983267025</x:v>
      </x:c>
      <x:c r="I262" s="23" t="n">
        <x:v>5.967637229347491</x:v>
      </x:c>
      <x:c r="J262" s="23" t="n">
        <x:v>5.07948407896144</x:v>
      </x:c>
      <x:c r="K262" s="23" t="n">
        <x:f>IF(E262&gt;0,J262/E262*100,"")</x:f>
        <x:v>21.164516995672667</x:v>
      </x:c>
      <x:c r="L262" s="23" t="n">
        <x:f>IF(E262&gt;0,ABS(J262-E262),"")</x:f>
        <x:v>18.92051592103856</x:v>
      </x:c>
      <x:c r="M262" s="23" t="n">
        <x:v>0.059971123933792114</x:v>
      </x:c>
      <x:c r="N262" s="20" t="n">
        <x:v>242</x:v>
      </x:c>
      <x:c r="O262" s="20" t="str">
        <x:v>yes</x:v>
      </x:c>
    </x:row>
    <x:row r="263">
      <x:c r="A263" s="20" t="str">
        <x:v>DQ6-TB24-TH3.csv</x:v>
      </x:c>
      <x:c r="B263" s="20" t="n">
        <x:v>5</x:v>
      </x:c>
      <x:c r="C263" s="20" t="str">
        <x:v>ternary</x:v>
      </x:c>
      <x:c r="D263" s="20" t="str">
        <x:v>DQ</x:v>
      </x:c>
      <x:c r="E263" s="23" t="n">
        <x:v>6</x:v>
      </x:c>
      <x:c r="F263" s="23" t="n">
        <x:v>36.8319075490278</x:v>
      </x:c>
      <x:c r="G263" s="23" t="n">
        <x:v>4669.207889798629</x:v>
      </x:c>
      <x:c r="H263" s="23" t="n">
        <x:v>3.330074340644522</x:v>
      </x:c>
      <x:c r="I263" s="23" t="n">
        <x:v>9.652825470686404</x:v>
      </x:c>
      <x:c r="J263" s="23" t="n">
        <x:v>11.166077239846633</x:v>
      </x:c>
      <x:c r="K263" s="23" t="n">
        <x:f>IF(E263&gt;0,J263/E263*100,"")</x:f>
        <x:v>186.1012873307772</x:v>
      </x:c>
      <x:c r="L263" s="23" t="n">
        <x:f>IF(E263&gt;0,ABS(J263-E263),"")</x:f>
        <x:v>5.166077239846633</x:v>
      </x:c>
      <x:c r="M263" s="23" t="n">
        <x:v>0.5254467129707336</x:v>
      </x:c>
      <x:c r="N263" s="20" t="n">
        <x:v>242</x:v>
      </x:c>
      <x:c r="O263" s="20" t="str">
        <x:v>yes</x:v>
      </x:c>
    </x:row>
    <x:row r="264">
      <x:c r="A264" s="20" t="str">
        <x:v>DQ6-TB24-TH3.csv</x:v>
      </x:c>
      <x:c r="B264" s="20" t="n">
        <x:v>5</x:v>
      </x:c>
      <x:c r="C264" s="20" t="str">
        <x:v>ternary</x:v>
      </x:c>
      <x:c r="D264" s="20" t="str">
        <x:v>TBZ</x:v>
      </x:c>
      <x:c r="E264" s="23" t="n">
        <x:v>24</x:v>
      </x:c>
      <x:c r="F264" s="23" t="n">
        <x:v>42.24829740230579</x:v>
      </x:c>
      <x:c r="G264" s="23" t="n">
        <x:v>2267.3138926141382</x:v>
      </x:c>
      <x:c r="H264" s="23" t="n">
        <x:v>3.020669211166386</x:v>
      </x:c>
      <x:c r="I264" s="23" t="n">
        <x:v>11.083131093906273</x:v>
      </x:c>
      <x:c r="J264" s="23" t="n">
        <x:v>8.780751427531815</x:v>
      </x:c>
      <x:c r="K264" s="23" t="n">
        <x:f>IF(E264&gt;0,J264/E264*100,"")</x:f>
        <x:v>36.58646428138256</x:v>
      </x:c>
      <x:c r="L264" s="23" t="n">
        <x:f>IF(E264&gt;0,ABS(J264-E264),"")</x:f>
        <x:v>15.219248572468185</x:v>
      </x:c>
      <x:c r="M264" s="23" t="n">
        <x:v>0.4634285271167755</x:v>
      </x:c>
      <x:c r="N264" s="20" t="n">
        <x:v>242</x:v>
      </x:c>
      <x:c r="O264" s="20" t="str">
        <x:v>yes</x:v>
      </x:c>
    </x:row>
    <x:row r="265">
      <x:c r="A265" s="20" t="str">
        <x:v>DQ6-TB24-TH3.csv</x:v>
      </x:c>
      <x:c r="B265" s="20" t="n">
        <x:v>5</x:v>
      </x:c>
      <x:c r="C265" s="20" t="str">
        <x:v>ternary</x:v>
      </x:c>
      <x:c r="D265" s="20" t="str">
        <x:v>THI</x:v>
      </x:c>
      <x:c r="E265" s="23" t="n">
        <x:v>3</x:v>
      </x:c>
      <x:c r="F265" s="23" t="n">
        <x:v>20.91979504856642</x:v>
      </x:c>
      <x:c r="G265" s="23" t="n">
        <x:v>1445.611965695599</x:v>
      </x:c>
      <x:c r="H265" s="23" t="n">
        <x:v>1.3035130436560871</x:v>
      </x:c>
      <x:c r="I265" s="23" t="n">
        <x:v>2.8820820772807325</x:v>
      </x:c>
      <x:c r="J265" s="23" t="n">
        <x:v>2.652640143051456</x:v>
      </x:c>
      <x:c r="K265" s="23" t="n">
        <x:f>IF(E265&gt;0,J265/E265*100,"")</x:f>
        <x:v>88.4213381017152</x:v>
      </x:c>
      <x:c r="L265" s="23" t="n">
        <x:f>IF(E265&gt;0,ABS(J265-E265),"")</x:f>
        <x:v>0.3473598569485441</x:v>
      </x:c>
      <x:c r="M265" s="23" t="n">
        <x:v>0.3085629343986511</x:v>
      </x:c>
      <x:c r="N265" s="20" t="n">
        <x:v>242</x:v>
      </x:c>
      <x:c r="O265" s="20" t="str">
        <x:v>yes</x:v>
      </x:c>
    </x:row>
    <x:row r="266">
      <x:c r="A266" s="20" t="str">
        <x:v>DQ6-TB6-TH3.csv</x:v>
      </x:c>
      <x:c r="B266" s="20" t="n">
        <x:v>5</x:v>
      </x:c>
      <x:c r="C266" s="20" t="str">
        <x:v>ternary</x:v>
      </x:c>
      <x:c r="D266" s="20" t="str">
        <x:v>DQ</x:v>
      </x:c>
      <x:c r="E266" s="23" t="n">
        <x:v>6</x:v>
      </x:c>
      <x:c r="F266" s="23" t="n">
        <x:v>41.173464666035144</x:v>
      </x:c>
      <x:c r="G266" s="23" t="n">
        <x:v>3041.961572365595</x:v>
      </x:c>
      <x:c r="H266" s="23" t="n">
        <x:v>1.4813808207804442</x:v>
      </x:c>
      <x:c r="I266" s="23" t="n">
        <x:v>9.957145328305952</x:v>
      </x:c>
      <x:c r="J266" s="23" t="n">
        <x:v>5.738546592591504</x:v>
      </x:c>
      <x:c r="K266" s="23" t="n">
        <x:f>IF(E266&gt;0,J266/E266*100,"")</x:f>
        <x:v>95.64244320985841</x:v>
      </x:c>
      <x:c r="L266" s="23" t="n">
        <x:f>IF(E266&gt;0,ABS(J266-E266),"")</x:f>
        <x:v>0.26145340740849576</x:v>
      </x:c>
      <x:c r="M266" s="23" t="n">
        <x:v>0.5881351828575134</x:v>
      </x:c>
      <x:c r="N266" s="20" t="n">
        <x:v>242</x:v>
      </x:c>
      <x:c r="O266" s="20" t="str">
        <x:v>yes</x:v>
      </x:c>
    </x:row>
    <x:row r="267">
      <x:c r="A267" s="20" t="str">
        <x:v>DQ6-TB6-TH3.csv</x:v>
      </x:c>
      <x:c r="B267" s="20" t="n">
        <x:v>5</x:v>
      </x:c>
      <x:c r="C267" s="20" t="str">
        <x:v>ternary</x:v>
      </x:c>
      <x:c r="D267" s="20" t="str">
        <x:v>TBZ</x:v>
      </x:c>
      <x:c r="E267" s="23" t="n">
        <x:v>6</x:v>
      </x:c>
      <x:c r="F267" s="23" t="n">
        <x:v>28.673744264609013</x:v>
      </x:c>
      <x:c r="G267" s="23" t="n">
        <x:v>1174.9730906816724</x:v>
      </x:c>
      <x:c r="H267" s="23" t="n">
        <x:v>1.5621455710266805</x:v>
      </x:c>
      <x:c r="I267" s="23" t="n">
        <x:v>6.961222621103197</x:v>
      </x:c>
      <x:c r="J267" s="23" t="n">
        <x:v>3.3442822061601083</x:v>
      </x:c>
      <x:c r="K267" s="23" t="n">
        <x:f>IF(E267&gt;0,J267/E267*100,"")</x:f>
        <x:v>55.73803676933514</x:v>
      </x:c>
      <x:c r="L267" s="23" t="n">
        <x:f>IF(E267&gt;0,ABS(J267-E267),"")</x:f>
        <x:v>2.6557177938398917</x:v>
      </x:c>
      <x:c r="M267" s="23" t="n">
        <x:v>0.330581396818161</x:v>
      </x:c>
      <x:c r="N267" s="20" t="n">
        <x:v>242</x:v>
      </x:c>
      <x:c r="O267" s="20" t="str">
        <x:v>yes</x:v>
      </x:c>
    </x:row>
    <x:row r="268">
      <x:c r="A268" s="20" t="str">
        <x:v>DQ6-TB6-TH3.csv</x:v>
      </x:c>
      <x:c r="B268" s="20" t="n">
        <x:v>5</x:v>
      </x:c>
      <x:c r="C268" s="20" t="str">
        <x:v>ternary</x:v>
      </x:c>
      <x:c r="D268" s="20" t="str">
        <x:v>THI</x:v>
      </x:c>
      <x:c r="E268" s="23" t="n">
        <x:v>3</x:v>
      </x:c>
      <x:c r="F268" s="23" t="n">
        <x:v>30.152791069255834</x:v>
      </x:c>
      <x:c r="G268" s="23" t="n">
        <x:v>1214.3537013413236</x:v>
      </x:c>
      <x:c r="H268" s="23" t="n">
        <x:v>1.1601754155427082</x:v>
      </x:c>
      <x:c r="I268" s="23" t="n">
        <x:v>3.3463607103337605</x:v>
      </x:c>
      <x:c r="J268" s="23" t="n">
        <x:v>2.9641517281881296</x:v>
      </x:c>
      <x:c r="K268" s="23" t="n">
        <x:f>IF(E268&gt;0,J268/E268*100,"")</x:f>
        <x:v>98.80505760627099</x:v>
      </x:c>
      <x:c r="L268" s="23" t="n">
        <x:f>IF(E268&gt;0,ABS(J268-E268),"")</x:f>
        <x:v>0.03584827181187045</x:v>
      </x:c>
      <x:c r="M268" s="23" t="n">
        <x:v>0.407376766204834</x:v>
      </x:c>
      <x:c r="N268" s="20" t="n">
        <x:v>242</x:v>
      </x:c>
      <x:c r="O268" s="20" t="str">
        <x:v>yes</x:v>
      </x:c>
    </x:row>
    <x:row r="269">
      <x:c r="A269" s="20" t="str">
        <x:v>DQ6-TB6-TH6.csv</x:v>
      </x:c>
      <x:c r="B269" s="20" t="n">
        <x:v>5</x:v>
      </x:c>
      <x:c r="C269" s="20" t="str">
        <x:v>ternary</x:v>
      </x:c>
      <x:c r="D269" s="20" t="str">
        <x:v>DQ</x:v>
      </x:c>
      <x:c r="E269" s="23" t="n">
        <x:v>6</x:v>
      </x:c>
      <x:c r="F269" s="23" t="n">
        <x:v>39.13069682704805</x:v>
      </x:c>
      <x:c r="G269" s="23" t="n">
        <x:v>3738.2012396373934</x:v>
      </x:c>
      <x:c r="H269" s="23" t="n">
        <x:v>2.0949984376301383</x:v>
      </x:c>
      <x:c r="I269" s="23" t="n">
        <x:v>8.389341460928321</x:v>
      </x:c>
      <x:c r="J269" s="23" t="n">
        <x:v>5.425769557584352</x:v>
      </x:c>
      <x:c r="K269" s="23" t="n">
        <x:f>IF(E269&gt;0,J269/E269*100,"")</x:f>
        <x:v>90.42949262640586</x:v>
      </x:c>
      <x:c r="L269" s="23" t="n">
        <x:f>IF(E269&gt;0,ABS(J269-E269),"")</x:f>
        <x:v>0.5742304424156481</x:v>
      </x:c>
      <x:c r="M269" s="23" t="n">
        <x:v>0.41327762603759766</x:v>
      </x:c>
      <x:c r="N269" s="20" t="n">
        <x:v>242</x:v>
      </x:c>
      <x:c r="O269" s="20" t="str">
        <x:v>yes</x:v>
      </x:c>
    </x:row>
    <x:row r="270">
      <x:c r="A270" s="20" t="str">
        <x:v>DQ6-TB6-TH6.csv</x:v>
      </x:c>
      <x:c r="B270" s="20" t="n">
        <x:v>5</x:v>
      </x:c>
      <x:c r="C270" s="20" t="str">
        <x:v>ternary</x:v>
      </x:c>
      <x:c r="D270" s="20" t="str">
        <x:v>TBZ</x:v>
      </x:c>
      <x:c r="E270" s="23" t="n">
        <x:v>6</x:v>
      </x:c>
      <x:c r="F270" s="23" t="n">
        <x:v>33.81014246963327</x:v>
      </x:c>
      <x:c r="G270" s="23" t="n">
        <x:v>1132.734930006761</x:v>
      </x:c>
      <x:c r="H270" s="23" t="n">
        <x:v>1.5228173620338044</x:v>
      </x:c>
      <x:c r="I270" s="23" t="n">
        <x:v>6.679024442031402</x:v>
      </x:c>
      <x:c r="J270" s="23" t="n">
        <x:v>3.48009708391059</x:v>
      </x:c>
      <x:c r="K270" s="23" t="n">
        <x:f>IF(E270&gt;0,J270/E270*100,"")</x:f>
        <x:v>58.001618065176494</x:v>
      </x:c>
      <x:c r="L270" s="23" t="n">
        <x:f>IF(E270&gt;0,ABS(J270-E270),"")</x:f>
        <x:v>2.51990291608941</x:v>
      </x:c>
      <x:c r="M270" s="23" t="n">
        <x:v>0.35894352197647095</x:v>
      </x:c>
      <x:c r="N270" s="20" t="n">
        <x:v>242</x:v>
      </x:c>
      <x:c r="O270" s="20" t="str">
        <x:v>yes</x:v>
      </x:c>
    </x:row>
    <x:row r="271">
      <x:c r="A271" s="21" t="str">
        <x:v>DQ6-TB6-TH6.csv</x:v>
      </x:c>
      <x:c r="B271" s="21" t="n">
        <x:v>5</x:v>
      </x:c>
      <x:c r="C271" s="21" t="str">
        <x:v>ternary</x:v>
      </x:c>
      <x:c r="D271" s="21" t="str">
        <x:v>THI</x:v>
      </x:c>
      <x:c r="E271" s="24" t="n">
        <x:v>6</x:v>
      </x:c>
      <x:c r="F271" s="24" t="n">
        <x:v>27.059160703218694</x:v>
      </x:c>
      <x:c r="G271" s="24" t="n">
        <x:v>1951.591949927733</x:v>
      </x:c>
      <x:c r="H271" s="24" t="n">
        <x:v>1.6819272448543308</x:v>
      </x:c>
      <x:c r="I271" s="24" t="n">
        <x:v>3.7356246171059375</x:v>
      </x:c>
      <x:c r="J271" s="24" t="n">
        <x:v>3.1995562633829473</x:v>
      </x:c>
      <x:c r="K271" s="24" t="n">
        <x:f>IF(E271&gt;0,J271/E271*100,"")</x:f>
        <x:v>53.32593772304912</x:v>
      </x:c>
      <x:c r="L271" s="24" t="n">
        <x:f>IF(E271&gt;0,ABS(J271-E271),"")</x:f>
        <x:v>2.8004437366170527</x:v>
      </x:c>
      <x:c r="M271" s="24" t="n">
        <x:v>0.2792825400829315</x:v>
      </x:c>
      <x:c r="N271" s="21" t="n">
        <x:v>242</x:v>
      </x:c>
      <x:c r="O271" s="21" t="str">
        <x:v>yes</x:v>
      </x:c>
    </x:row>
  </x:sheetData>
  <x:mergeCells>
    <x:mergeCell ref="A1:O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2.5" hidden="0" customWidth="1"/>
    <x:col min="3" max="3" width="12.5" hidden="0" customWidth="1"/>
    <x:col min="4" max="4" width="12.5" hidden="0" customWidth="1"/>
    <x:col min="5" max="5" width="13.75" hidden="0" customWidth="1"/>
    <x:col min="6" max="6" width="7.5" hidden="0" customWidth="1"/>
  </x:cols>
  <x:sheetData>
    <x:row r="1" ht="28" customHeight="1">
      <x:c r="A1" s="4" t="str">
        <x:v>Paired statistical comparisons and bootstrap confidence intervals</x:v>
      </x:c>
      <x:c r="B1" s="4" t="str">
        <x:v>Paired statistical comparisons and bootstrap confidence intervals</x:v>
      </x:c>
      <x:c r="C1" s="4" t="str">
        <x:v>Paired statistical comparisons and bootstrap confidence intervals</x:v>
      </x:c>
      <x:c r="D1" s="4" t="str">
        <x:v>Paired statistical comparisons and bootstrap confidence intervals</x:v>
      </x:c>
      <x:c r="E1" s="4" t="str">
        <x:v>Paired statistical comparisons and bootstrap confidence intervals</x:v>
      </x:c>
      <x:c r="F1" s="4" t="str">
        <x:v>Paired statistical comparisons and bootstrap confidence intervals</x:v>
      </x:c>
    </x:row>
    <x:row r="2" ht="28" customHeight="1">
      <x:c r="A2" s="4" t="str">
        <x:v>Paired statistical comparisons and bootstrap confidence intervals</x:v>
      </x:c>
      <x:c r="B2" s="4" t="str">
        <x:v>Paired statistical comparisons and bootstrap confidence intervals</x:v>
      </x:c>
      <x:c r="C2" s="4" t="str">
        <x:v>Paired statistical comparisons and bootstrap confidence intervals</x:v>
      </x:c>
      <x:c r="D2" s="4" t="str">
        <x:v>Paired statistical comparisons and bootstrap confidence intervals</x:v>
      </x:c>
      <x:c r="E2" s="4" t="str">
        <x:v>Paired statistical comparisons and bootstrap confidence intervals</x:v>
      </x:c>
      <x:c r="F2" s="4" t="str">
        <x:v>Paired statistical comparisons and bootstrap confidence intervals</x:v>
      </x:c>
    </x:row>
    <x:row r="4">
      <x:c r="A4" s="15" t="str">
        <x:v>Comparison</x:v>
      </x:c>
      <x:c r="B4" s="16" t="str">
        <x:v>Estimate</x:v>
      </x:c>
      <x:c r="C4" s="16" t="str">
        <x:v>CI low</x:v>
      </x:c>
      <x:c r="D4" s="16" t="str">
        <x:v>CI high</x:v>
      </x:c>
      <x:c r="E4" s="16" t="str">
        <x:v>P value</x:v>
      </x:c>
      <x:c r="F4" s="17" t="str">
        <x:v>N</x:v>
      </x:c>
    </x:row>
    <x:row r="5">
      <x:c r="A5" s="19" t="str">
        <x:v>nnls_vs_mlp median Δ deviation (%p)</x:v>
      </x:c>
      <x:c r="B5" s="40" t="n">
        <x:v>2.7409778583866853</x:v>
      </x:c>
      <x:c r="C5" s="40"/>
      <x:c r="D5" s="40"/>
      <x:c r="E5" s="40" t="n">
        <x:v>0.02456489127555341</x:v>
      </x:c>
      <x:c r="F5" s="19" t="n">
        <x:v>89</x:v>
      </x:c>
    </x:row>
    <x:row r="6">
      <x:c r="A6" s="20" t="str">
        <x:v>pls_vs_mlp median Δ deviation (%p)</x:v>
      </x:c>
      <x:c r="B6" s="41" t="n">
        <x:v>-1.3251828487942134</x:v>
      </x:c>
      <x:c r="C6" s="41"/>
      <x:c r="D6" s="41"/>
      <x:c r="E6" s="41" t="n">
        <x:v>0.00491154549997929</x:v>
      </x:c>
      <x:c r="F6" s="20" t="n">
        <x:v>89</x:v>
      </x:c>
    </x:row>
    <x:row r="7">
      <x:c r="A7" s="20" t="str">
        <x:v>rf_vs_mlp median Δ deviation (%p)</x:v>
      </x:c>
      <x:c r="B7" s="41" t="n">
        <x:v>-0.17447910030631775</x:v>
      </x:c>
      <x:c r="C7" s="41"/>
      <x:c r="D7" s="41"/>
      <x:c r="E7" s="41" t="n">
        <x:v>0.480342549658587</x:v>
      </x:c>
      <x:c r="F7" s="20" t="n">
        <x:v>89</x:v>
      </x:c>
    </x:row>
    <x:row r="8">
      <x:c r="A8" s="20" t="str">
        <x:v>cnn_vs_mlp median Δ deviation (%p)</x:v>
      </x:c>
      <x:c r="B8" s="41" t="n">
        <x:v>2.066841213187825</x:v>
      </x:c>
      <x:c r="C8" s="41"/>
      <x:c r="D8" s="41"/>
      <x:c r="E8" s="41" t="n">
        <x:v>0.02160320115579827</x:v>
      </x:c>
      <x:c r="F8" s="20" t="n">
        <x:v>89</x:v>
      </x:c>
    </x:row>
    <x:row r="9">
      <x:c r="A9" s="20" t="str">
        <x:v>RF AUC − MLP AUC</x:v>
      </x:c>
      <x:c r="B9" s="41" t="n">
        <x:v>0.035147392290249435</x:v>
      </x:c>
      <x:c r="C9" s="41" t="n">
        <x:v>-0.02947845804988658</x:v>
      </x:c>
      <x:c r="D9" s="41" t="n">
        <x:v>0.09863945578231281</x:v>
      </x:c>
      <x:c r="E9" s="41" t="n">
        <x:v>0.3312</x:v>
      </x:c>
      <x:c r="F9" s="20" t="n">
        <x:v>21</x:v>
      </x:c>
    </x:row>
    <x:row r="10">
      <x:c r="A10" s="20" t="str">
        <x:v>Low-grid MAE reduction (%)</x:v>
      </x:c>
      <x:c r="B10" s="41" t="n">
        <x:v>43.13722654267244</x:v>
      </x:c>
      <x:c r="C10" s="41" t="n">
        <x:v>33.32503724738765</x:v>
      </x:c>
      <x:c r="D10" s="41" t="n">
        <x:v>51.75958878812483</x:v>
      </x:c>
      <x:c r="E10" s="41" t="n">
        <x:v>2.0727055502587415e-9</x:v>
      </x:c>
      <x:c r="F10" s="20" t="n">
        <x:v>64</x:v>
      </x:c>
    </x:row>
    <x:row r="11">
      <x:c r="A11" s="21" t="str">
        <x:v>Low-grid Euclidean reduction (%)</x:v>
      </x:c>
      <x:c r="B11" s="42" t="n">
        <x:v>45.1987848356978</x:v>
      </x:c>
      <x:c r="C11" s="42" t="n">
        <x:v>34.60268033900244</x:v>
      </x:c>
      <x:c r="D11" s="42" t="n">
        <x:v>54.25746502205024</x:v>
      </x:c>
      <x:c r="E11" s="42" t="n">
        <x:v>2.442534917073767e-9</x:v>
      </x:c>
      <x:c r="F11" s="21" t="n">
        <x:v>64</x:v>
      </x:c>
    </x:row>
  </x:sheetData>
  <x:mergeCells>
    <x:mergeCell ref="A1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5.630000114440918" hidden="0" customWidth="1"/>
    <x:col min="3" max="3" width="13.130000114440918" hidden="0" customWidth="1"/>
    <x:col min="4" max="4" width="16.8799991607666" hidden="0" customWidth="1"/>
    <x:col min="5" max="5" width="13.130000114440918" hidden="0" customWidth="1"/>
    <x:col min="6" max="6" width="45" hidden="0" customWidth="1"/>
  </x:cols>
  <x:sheetData>
    <x:row r="1" ht="28" customHeight="1">
      <x:c r="A1" s="4" t="str">
        <x:v>Model-selection decision log</x:v>
      </x:c>
      <x:c r="B1" s="4" t="str">
        <x:v>Model-selection decision log</x:v>
      </x:c>
      <x:c r="C1" s="4" t="str">
        <x:v>Model-selection decision log</x:v>
      </x:c>
      <x:c r="D1" s="4" t="str">
        <x:v>Model-selection decision log</x:v>
      </x:c>
      <x:c r="E1" s="4" t="str">
        <x:v>Model-selection decision log</x:v>
      </x:c>
      <x:c r="F1" s="4" t="str">
        <x:v>Model-selection decision log</x:v>
      </x:c>
    </x:row>
    <x:row r="2" ht="28" customHeight="1">
      <x:c r="A2" s="4" t="str">
        <x:v>Model-selection decision log</x:v>
      </x:c>
      <x:c r="B2" s="4" t="str">
        <x:v>Model-selection decision log</x:v>
      </x:c>
      <x:c r="C2" s="4" t="str">
        <x:v>Model-selection decision log</x:v>
      </x:c>
      <x:c r="D2" s="4" t="str">
        <x:v>Model-selection decision log</x:v>
      </x:c>
      <x:c r="E2" s="4" t="str">
        <x:v>Model-selection decision log</x:v>
      </x:c>
      <x:c r="F2" s="4" t="str">
        <x:v>Model-selection decision log</x:v>
      </x:c>
    </x:row>
    <x:row r="4">
      <x:c r="A4" s="15" t="str">
        <x:v>Candidate</x:v>
      </x:c>
      <x:c r="B4" s="16" t="str">
        <x:v>Low-grid mean recovery (%)</x:v>
      </x:c>
      <x:c r="C4" s="16" t="str">
        <x:v>Low-grid MAE (µM)</x:v>
      </x:c>
      <x:c r="D4" s="16" t="str">
        <x:v>All-map median recovery (%)</x:v>
      </x:c>
      <x:c r="E4" s="16" t="str">
        <x:v>All-map MAE (µM)</x:v>
      </x:c>
      <x:c r="F4" s="17" t="str">
        <x:v>Decision</x:v>
      </x:c>
    </x:row>
    <x:row r="5">
      <x:c r="A5" s="58" t="str">
        <x:v>Calibration-guided residual MLP (12 features)</x:v>
      </x:c>
      <x:c r="B5" s="59" t="n">
        <x:v>120.04464995962539</x:v>
      </x:c>
      <x:c r="C5" s="59" t="n">
        <x:v>5.00747635640615</x:v>
      </x:c>
      <x:c r="D5" s="59" t="n">
        <x:v>91.87565652920672</x:v>
      </x:c>
      <x:c r="E5" s="59" t="n">
        <x:v>38.0188027295025</x:v>
      </x:c>
      <x:c r="F5" s="58" t="str">
        <x:v>SELECT — best overall error and stable low-grid recovery</x:v>
      </x:c>
    </x:row>
    <x:row r="6">
      <x:c r="A6" s="60" t="str">
        <x:v>Residual MLP + full-spectrum latent PCA8</x:v>
      </x:c>
      <x:c r="B6" s="61" t="n">
        <x:v>99.64972909047857</x:v>
      </x:c>
      <x:c r="C6" s="61" t="n">
        <x:v>4.678260992783076</x:v>
      </x:c>
      <x:c r="D6" s="61" t="n">
        <x:v>77.4678905497427</x:v>
      </x:c>
      <x:c r="E6" s="61" t="n">
        <x:v>41.47491298250941</x:v>
      </x:c>
      <x:c r="F6" s="60" t="str">
        <x:v>REJECT — low-grid mean improved, overall/binary error worsened</x:v>
      </x:c>
    </x:row>
    <x:row r="7">
      <x:c r="A7" s="60" t="str">
        <x:v>Direct concentration MLP + latent PCA8</x:v>
      </x:c>
      <x:c r="B7" s="61" t="n">
        <x:v>88.56099536642432</x:v>
      </x:c>
      <x:c r="C7" s="61" t="n">
        <x:v>4.9408046423147125</x:v>
      </x:c>
      <x:c r="D7" s="61" t="n">
        <x:v>66.56226857503256</x:v>
      </x:c>
      <x:c r="E7" s="61" t="n">
        <x:v>45.39005937954275</x:v>
      </x:c>
      <x:c r="F7" s="60" t="str">
        <x:v>REJECT — weaker than calibration-guided residual</x:v>
      </x:c>
    </x:row>
    <x:row r="8">
      <x:c r="A8" s="62" t="str">
        <x:v>Single calibration only</x:v>
      </x:c>
      <x:c r="B8" s="63" t="n">
        <x:v>64.78556698509018</x:v>
      </x:c>
      <x:c r="C8" s="63" t="n">
        <x:v>8.806247131374958</x:v>
      </x:c>
      <x:c r="D8" s="63" t="n">
        <x:v>30.962290541898902</x:v>
      </x:c>
      <x:c r="E8" s="63" t="n">
        <x:v>51.617570188981496</x:v>
      </x:c>
      <x:c r="F8" s="62" t="str">
        <x:v>BASELINE — strong under-recovery for DQ/TBZ</x:v>
      </x:c>
    </x:row>
  </x:sheetData>
  <x:mergeCells>
    <x:mergeCell ref="A1:F2"/>
  </x:mergeCells>
  <x:pageMargins left="0.7" right="0.7" top="0.75" bottom="0.75" header="0.3" footer="0.3"/>
</x:worksheet>
</file>